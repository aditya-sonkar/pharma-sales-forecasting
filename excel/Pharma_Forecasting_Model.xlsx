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Executive_Summary" sheetId="1" state="visible" r:id="rId1"/>
    <sheet name="2_Data_Input" sheetId="2" state="visible" r:id="rId2"/>
    <sheet name="3_Category_Input" sheetId="3" state="visible" r:id="rId3"/>
    <sheet name="4_Forecast_Model" sheetId="4" state="visible" r:id="rId4"/>
    <sheet name="5_Accuracy_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D3748"/>
        <bgColor rgb="002D37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3" customWidth="1" min="3" max="3"/>
    <col width="3" customWidth="1" min="4" max="4"/>
  </cols>
  <sheetData>
    <row r="1">
      <c r="A1" s="1" t="inlineStr">
        <is>
          <t>Pharma Sales Analysis &amp; Forecasting Model</t>
        </is>
      </c>
    </row>
    <row r="2"/>
    <row r="3">
      <c r="A3" s="2" t="inlineStr">
        <is>
          <t>Dataset Overview:</t>
        </is>
      </c>
    </row>
    <row r="4">
      <c r="A4" t="inlineStr">
        <is>
          <t>Source: Kaggle Pharma Sales Data (2014-2019)</t>
        </is>
      </c>
    </row>
    <row r="5">
      <c r="A5" t="inlineStr">
        <is>
          <t>Primary File: salesmonthly.csv</t>
        </is>
      </c>
    </row>
    <row r="6">
      <c r="A6" t="inlineStr">
        <is>
          <t>Training Period: Jan 2014 - Dec 2018 (60 months)</t>
        </is>
      </c>
    </row>
    <row r="7">
      <c r="A7" t="inlineStr">
        <is>
          <t>Validation Period: Jan 2019 - Sep 2019 (9 months)</t>
        </is>
      </c>
    </row>
    <row r="8">
      <c r="A8" t="inlineStr">
        <is>
          <t>Note: Oct 2019 excluded from validation as it is a partial month.</t>
        </is>
      </c>
    </row>
    <row r="9"/>
    <row r="10">
      <c r="A10" s="2" t="inlineStr">
        <is>
          <t>Key Findings &amp; Limitations:</t>
        </is>
      </c>
    </row>
    <row r="11">
      <c r="A11" t="inlineStr">
        <is>
          <t>1. Jan 2017 shows anomalous near-zero sales in the raw data.</t>
        </is>
      </c>
    </row>
    <row r="12">
      <c r="A12" t="inlineStr">
        <is>
          <t>2. A sensitivity check showed a modest change in forecast error when the January 2017 anomaly was excluded.</t>
        </is>
      </c>
    </row>
    <row r="13">
      <c r="A13" t="inlineStr">
        <is>
          <t>3. The original data is retained; no synthetic imputation was performed.</t>
        </is>
      </c>
    </row>
    <row r="14"/>
    <row r="15">
      <c r="A15" s="2" t="inlineStr">
        <is>
          <t>Business KPIs:</t>
        </is>
      </c>
    </row>
    <row r="16">
      <c r="A16" t="inlineStr">
        <is>
          <t>Total Sales Quantity (2014-2019)</t>
        </is>
      </c>
      <c r="B16" t="inlineStr">
        <is>
          <t>126,585.8</t>
        </is>
      </c>
    </row>
    <row r="17">
      <c r="A17" t="inlineStr">
        <is>
          <t>Average Monthly Sales (all cats)</t>
        </is>
      </c>
      <c r="B17" t="inlineStr">
        <is>
          <t>1,808.4</t>
        </is>
      </c>
    </row>
    <row r="18">
      <c r="A18" t="inlineStr">
        <is>
          <t>Highest-Selling Category</t>
        </is>
      </c>
      <c r="B18" t="inlineStr">
        <is>
          <t>N02BE (62,477.9 units)</t>
        </is>
      </c>
    </row>
    <row r="19">
      <c r="A19" t="inlineStr">
        <is>
          <t>Category Contribution (top)</t>
        </is>
      </c>
      <c r="B19" t="inlineStr">
        <is>
          <t>49.4%</t>
        </is>
      </c>
    </row>
    <row r="20">
      <c r="A20" t="inlineStr">
        <is>
          <t>Highest-Sales Month</t>
        </is>
      </c>
      <c r="B20" t="inlineStr">
        <is>
          <t>2014-10  (3,146.9)</t>
        </is>
      </c>
    </row>
    <row r="21">
      <c r="A21" t="inlineStr">
        <is>
          <t>YoY Growth 2017-&gt;2018 (full years)</t>
        </is>
      </c>
      <c r="B21" t="inlineStr">
        <is>
          <t>+39.6%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7" customWidth="1" min="3" max="3"/>
    <col width="8" customWidth="1" min="4" max="4"/>
    <col width="21" customWidth="1" min="5" max="5"/>
    <col width="22" customWidth="1" min="6" max="6"/>
    <col width="22" customWidth="1" min="7" max="7"/>
    <col width="21" customWidth="1" min="8" max="8"/>
  </cols>
  <sheetData>
    <row r="1">
      <c r="A1" s="3" t="inlineStr">
        <is>
          <t>Date</t>
        </is>
      </c>
      <c r="B1" s="3" t="inlineStr">
        <is>
          <t>Year_Month</t>
        </is>
      </c>
      <c r="C1" s="3" t="inlineStr">
        <is>
          <t>Year</t>
        </is>
      </c>
      <c r="D1" s="3" t="inlineStr">
        <is>
          <t>Month</t>
        </is>
      </c>
      <c r="E1" s="3" t="inlineStr">
        <is>
          <t>Total_Sales</t>
        </is>
      </c>
      <c r="F1" s="3" t="inlineStr">
        <is>
          <t>MoM_Change</t>
        </is>
      </c>
      <c r="G1" s="3" t="inlineStr">
        <is>
          <t>MoM_Growth_Pct</t>
        </is>
      </c>
      <c r="H1" s="3" t="inlineStr">
        <is>
          <t>MA3</t>
        </is>
      </c>
    </row>
    <row r="2">
      <c r="A2" s="4" t="n">
        <v>41670</v>
      </c>
      <c r="B2" t="inlineStr">
        <is>
          <t>2014-01</t>
        </is>
      </c>
      <c r="C2" t="n">
        <v>2014</v>
      </c>
      <c r="D2" t="n">
        <v>1</v>
      </c>
      <c r="E2" t="n">
        <v>1821.11</v>
      </c>
      <c r="F2" t="n">
        <v/>
      </c>
      <c r="G2" t="n">
        <v/>
      </c>
      <c r="H2" t="n">
        <v>1821.11</v>
      </c>
    </row>
    <row r="3">
      <c r="A3" s="4" t="n">
        <v>41698</v>
      </c>
      <c r="B3" t="inlineStr">
        <is>
          <t>2014-02</t>
        </is>
      </c>
      <c r="C3" t="n">
        <v>2014</v>
      </c>
      <c r="D3" t="n">
        <v>2</v>
      </c>
      <c r="E3" t="n">
        <v>1974.47</v>
      </c>
      <c r="F3" t="n">
        <v>153.3599999999999</v>
      </c>
      <c r="G3" t="n">
        <v>8.421237596850272</v>
      </c>
      <c r="H3" t="n">
        <v>1897.79</v>
      </c>
    </row>
    <row r="4">
      <c r="A4" s="4" t="n">
        <v>41729</v>
      </c>
      <c r="B4" t="inlineStr">
        <is>
          <t>2014-03</t>
        </is>
      </c>
      <c r="C4" t="n">
        <v>2014</v>
      </c>
      <c r="D4" t="n">
        <v>3</v>
      </c>
      <c r="E4" t="n">
        <v>1606.72</v>
      </c>
      <c r="F4" t="n">
        <v>-367.75</v>
      </c>
      <c r="G4" t="n">
        <v>-18.62525133326918</v>
      </c>
      <c r="H4" t="n">
        <v>1800.766666666667</v>
      </c>
    </row>
    <row r="5">
      <c r="A5" s="4" t="n">
        <v>41759</v>
      </c>
      <c r="B5" t="inlineStr">
        <is>
          <t>2014-04</t>
        </is>
      </c>
      <c r="C5" t="n">
        <v>2014</v>
      </c>
      <c r="D5" t="n">
        <v>4</v>
      </c>
      <c r="E5" t="n">
        <v>1429.675</v>
      </c>
      <c r="F5" t="n">
        <v>-177.0449999999998</v>
      </c>
      <c r="G5" t="n">
        <v>-11.01903256323441</v>
      </c>
      <c r="H5" t="n">
        <v>1670.288333333333</v>
      </c>
    </row>
    <row r="6">
      <c r="A6" s="4" t="n">
        <v>41790</v>
      </c>
      <c r="B6" t="inlineStr">
        <is>
          <t>2014-05</t>
        </is>
      </c>
      <c r="C6" t="n">
        <v>2014</v>
      </c>
      <c r="D6" t="n">
        <v>5</v>
      </c>
      <c r="E6" t="n">
        <v>1506.303</v>
      </c>
      <c r="F6" t="n">
        <v>76.62799999999993</v>
      </c>
      <c r="G6" t="n">
        <v>5.359819539405808</v>
      </c>
      <c r="H6" t="n">
        <v>1514.232666666667</v>
      </c>
    </row>
    <row r="7">
      <c r="A7" s="4" t="n">
        <v>41820</v>
      </c>
      <c r="B7" t="inlineStr">
        <is>
          <t>2014-06</t>
        </is>
      </c>
      <c r="C7" t="n">
        <v>2014</v>
      </c>
      <c r="D7" t="n">
        <v>6</v>
      </c>
      <c r="E7" t="n">
        <v>1390.205</v>
      </c>
      <c r="F7" t="n">
        <v>-116.098</v>
      </c>
      <c r="G7" t="n">
        <v>-7.707479836394137</v>
      </c>
      <c r="H7" t="n">
        <v>1442.061</v>
      </c>
    </row>
    <row r="8">
      <c r="A8" s="4" t="n">
        <v>41851</v>
      </c>
      <c r="B8" t="inlineStr">
        <is>
          <t>2014-07</t>
        </is>
      </c>
      <c r="C8" t="n">
        <v>2014</v>
      </c>
      <c r="D8" t="n">
        <v>7</v>
      </c>
      <c r="E8" t="n">
        <v>1332.37</v>
      </c>
      <c r="F8" t="n">
        <v>-57.83500000000004</v>
      </c>
      <c r="G8" t="n">
        <v>-4.160177815502031</v>
      </c>
      <c r="H8" t="n">
        <v>1409.626</v>
      </c>
    </row>
    <row r="9">
      <c r="A9" s="4" t="n">
        <v>41882</v>
      </c>
      <c r="B9" t="inlineStr">
        <is>
          <t>2014-08</t>
        </is>
      </c>
      <c r="C9" t="n">
        <v>2014</v>
      </c>
      <c r="D9" t="n">
        <v>8</v>
      </c>
      <c r="E9" t="n">
        <v>1499.02</v>
      </c>
      <c r="F9" t="n">
        <v>166.6499999999999</v>
      </c>
      <c r="G9" t="n">
        <v>12.5077868760179</v>
      </c>
      <c r="H9" t="n">
        <v>1407.198333333333</v>
      </c>
    </row>
    <row r="10">
      <c r="A10" s="4" t="n">
        <v>41912</v>
      </c>
      <c r="B10" t="inlineStr">
        <is>
          <t>2014-09</t>
        </is>
      </c>
      <c r="C10" t="n">
        <v>2014</v>
      </c>
      <c r="D10" t="n">
        <v>9</v>
      </c>
      <c r="E10" t="n">
        <v>1814.594</v>
      </c>
      <c r="F10" t="n">
        <v>315.5740000000001</v>
      </c>
      <c r="G10" t="n">
        <v>21.05202065349363</v>
      </c>
      <c r="H10" t="n">
        <v>1548.661333333334</v>
      </c>
    </row>
    <row r="11">
      <c r="A11" s="4" t="n">
        <v>41943</v>
      </c>
      <c r="B11" t="inlineStr">
        <is>
          <t>2014-10</t>
        </is>
      </c>
      <c r="C11" t="n">
        <v>2014</v>
      </c>
      <c r="D11" t="n">
        <v>10</v>
      </c>
      <c r="E11" t="n">
        <v>3146.906</v>
      </c>
      <c r="F11" t="n">
        <v>1332.312</v>
      </c>
      <c r="G11" t="n">
        <v>73.42204371887044</v>
      </c>
      <c r="H11" t="n">
        <v>2153.506666666667</v>
      </c>
    </row>
    <row r="12">
      <c r="A12" s="4" t="n">
        <v>41973</v>
      </c>
      <c r="B12" t="inlineStr">
        <is>
          <t>2014-11</t>
        </is>
      </c>
      <c r="C12" t="n">
        <v>2014</v>
      </c>
      <c r="D12" t="n">
        <v>11</v>
      </c>
      <c r="E12" t="n">
        <v>1770.64</v>
      </c>
      <c r="F12" t="n">
        <v>-1376.266</v>
      </c>
      <c r="G12" t="n">
        <v>-43.73394057528252</v>
      </c>
      <c r="H12" t="n">
        <v>2244.046666666667</v>
      </c>
    </row>
    <row r="13">
      <c r="A13" s="4" t="n">
        <v>42004</v>
      </c>
      <c r="B13" t="inlineStr">
        <is>
          <t>2014-12</t>
        </is>
      </c>
      <c r="C13" t="n">
        <v>2014</v>
      </c>
      <c r="D13" t="n">
        <v>12</v>
      </c>
      <c r="E13" t="n">
        <v>2093.485</v>
      </c>
      <c r="F13" t="n">
        <v>322.845</v>
      </c>
      <c r="G13" t="n">
        <v>18.23323769936293</v>
      </c>
      <c r="H13" t="n">
        <v>2337.010333333333</v>
      </c>
    </row>
    <row r="14">
      <c r="A14" s="4" t="n">
        <v>42035</v>
      </c>
      <c r="B14" t="inlineStr">
        <is>
          <t>2015-01</t>
        </is>
      </c>
      <c r="C14" t="n">
        <v>2015</v>
      </c>
      <c r="D14" t="n">
        <v>1</v>
      </c>
      <c r="E14" t="n">
        <v>2157.749</v>
      </c>
      <c r="F14" t="n">
        <v>64.26400000000012</v>
      </c>
      <c r="G14" t="n">
        <v>3.069713898117254</v>
      </c>
      <c r="H14" t="n">
        <v>2007.291333333333</v>
      </c>
    </row>
    <row r="15">
      <c r="A15" s="4" t="n">
        <v>42063</v>
      </c>
      <c r="B15" t="inlineStr">
        <is>
          <t>2015-02</t>
        </is>
      </c>
      <c r="C15" t="n">
        <v>2015</v>
      </c>
      <c r="D15" t="n">
        <v>2</v>
      </c>
      <c r="E15" t="n">
        <v>1831.532</v>
      </c>
      <c r="F15" t="n">
        <v>-326.2170000000003</v>
      </c>
      <c r="G15" t="n">
        <v>-15.11839421545325</v>
      </c>
      <c r="H15" t="n">
        <v>2027.588666666666</v>
      </c>
    </row>
    <row r="16">
      <c r="A16" s="4" t="n">
        <v>42094</v>
      </c>
      <c r="B16" t="inlineStr">
        <is>
          <t>2015-03</t>
        </is>
      </c>
      <c r="C16" t="n">
        <v>2015</v>
      </c>
      <c r="D16" t="n">
        <v>3</v>
      </c>
      <c r="E16" t="n">
        <v>1974.076</v>
      </c>
      <c r="F16" t="n">
        <v>142.5440000000001</v>
      </c>
      <c r="G16" t="n">
        <v>7.78277420214335</v>
      </c>
      <c r="H16" t="n">
        <v>1987.785666666667</v>
      </c>
    </row>
    <row r="17">
      <c r="A17" s="4" t="n">
        <v>42124</v>
      </c>
      <c r="B17" t="inlineStr">
        <is>
          <t>2015-04</t>
        </is>
      </c>
      <c r="C17" t="n">
        <v>2015</v>
      </c>
      <c r="D17" t="n">
        <v>4</v>
      </c>
      <c r="E17" t="n">
        <v>1723.885</v>
      </c>
      <c r="F17" t="n">
        <v>-250.1910000000002</v>
      </c>
      <c r="G17" t="n">
        <v>-12.67382816061794</v>
      </c>
      <c r="H17" t="n">
        <v>1843.164333333333</v>
      </c>
    </row>
    <row r="18">
      <c r="A18" s="4" t="n">
        <v>42155</v>
      </c>
      <c r="B18" t="inlineStr">
        <is>
          <t>2015-05</t>
        </is>
      </c>
      <c r="C18" t="n">
        <v>2015</v>
      </c>
      <c r="D18" t="n">
        <v>5</v>
      </c>
      <c r="E18" t="n">
        <v>1644.577</v>
      </c>
      <c r="F18" t="n">
        <v>-79.30799999999954</v>
      </c>
      <c r="G18" t="n">
        <v>-4.600538899056462</v>
      </c>
      <c r="H18" t="n">
        <v>1780.846</v>
      </c>
    </row>
    <row r="19">
      <c r="A19" s="4" t="n">
        <v>42185</v>
      </c>
      <c r="B19" t="inlineStr">
        <is>
          <t>2015-06</t>
        </is>
      </c>
      <c r="C19" t="n">
        <v>2015</v>
      </c>
      <c r="D19" t="n">
        <v>6</v>
      </c>
      <c r="E19" t="n">
        <v>1705.608</v>
      </c>
      <c r="F19" t="n">
        <v>61.03099999999972</v>
      </c>
      <c r="G19" t="n">
        <v>3.711045454241413</v>
      </c>
      <c r="H19" t="n">
        <v>1691.356666666667</v>
      </c>
    </row>
    <row r="20">
      <c r="A20" s="4" t="n">
        <v>42216</v>
      </c>
      <c r="B20" t="inlineStr">
        <is>
          <t>2015-07</t>
        </is>
      </c>
      <c r="C20" t="n">
        <v>2015</v>
      </c>
      <c r="D20" t="n">
        <v>7</v>
      </c>
      <c r="E20" t="n">
        <v>1523.048</v>
      </c>
      <c r="F20" t="n">
        <v>-182.5599999999997</v>
      </c>
      <c r="G20" t="n">
        <v>-10.70351452385306</v>
      </c>
      <c r="H20" t="n">
        <v>1624.411</v>
      </c>
    </row>
    <row r="21">
      <c r="A21" s="4" t="n">
        <v>42247</v>
      </c>
      <c r="B21" t="inlineStr">
        <is>
          <t>2015-08</t>
        </is>
      </c>
      <c r="C21" t="n">
        <v>2015</v>
      </c>
      <c r="D21" t="n">
        <v>8</v>
      </c>
      <c r="E21" t="n">
        <v>1659.597</v>
      </c>
      <c r="F21" t="n">
        <v>136.5489999999998</v>
      </c>
      <c r="G21" t="n">
        <v>8.965508637941788</v>
      </c>
      <c r="H21" t="n">
        <v>1629.417666666667</v>
      </c>
    </row>
    <row r="22">
      <c r="A22" s="4" t="n">
        <v>42277</v>
      </c>
      <c r="B22" t="inlineStr">
        <is>
          <t>2015-09</t>
        </is>
      </c>
      <c r="C22" t="n">
        <v>2015</v>
      </c>
      <c r="D22" t="n">
        <v>9</v>
      </c>
      <c r="E22" t="n">
        <v>1679.367</v>
      </c>
      <c r="F22" t="n">
        <v>19.77000000000021</v>
      </c>
      <c r="G22" t="n">
        <v>1.191253057218122</v>
      </c>
      <c r="H22" t="n">
        <v>1620.670666666667</v>
      </c>
    </row>
    <row r="23">
      <c r="A23" s="4" t="n">
        <v>42308</v>
      </c>
      <c r="B23" t="inlineStr">
        <is>
          <t>2015-10</t>
        </is>
      </c>
      <c r="C23" t="n">
        <v>2015</v>
      </c>
      <c r="D23" t="n">
        <v>10</v>
      </c>
      <c r="E23" t="n">
        <v>2529.576000000001</v>
      </c>
      <c r="F23" t="n">
        <v>850.2090000000007</v>
      </c>
      <c r="G23" t="n">
        <v>50.62675400909991</v>
      </c>
      <c r="H23" t="n">
        <v>1956.18</v>
      </c>
    </row>
    <row r="24">
      <c r="A24" s="4" t="n">
        <v>42338</v>
      </c>
      <c r="B24" t="inlineStr">
        <is>
          <t>2015-11</t>
        </is>
      </c>
      <c r="C24" t="n">
        <v>2015</v>
      </c>
      <c r="D24" t="n">
        <v>11</v>
      </c>
      <c r="E24" t="n">
        <v>2189.638</v>
      </c>
      <c r="F24" t="n">
        <v>-339.938000000001</v>
      </c>
      <c r="G24" t="n">
        <v>-13.43853673501018</v>
      </c>
      <c r="H24" t="n">
        <v>2132.860333333334</v>
      </c>
    </row>
    <row r="25">
      <c r="A25" s="4" t="n">
        <v>42369</v>
      </c>
      <c r="B25" t="inlineStr">
        <is>
          <t>2015-12</t>
        </is>
      </c>
      <c r="C25" t="n">
        <v>2015</v>
      </c>
      <c r="D25" t="n">
        <v>12</v>
      </c>
      <c r="E25" t="n">
        <v>2272.83</v>
      </c>
      <c r="F25" t="n">
        <v>83.19200000000046</v>
      </c>
      <c r="G25" t="n">
        <v>3.799349481512482</v>
      </c>
      <c r="H25" t="n">
        <v>2330.681333333334</v>
      </c>
    </row>
    <row r="26">
      <c r="A26" s="4" t="n">
        <v>42400</v>
      </c>
      <c r="B26" t="inlineStr">
        <is>
          <t>2016-01</t>
        </is>
      </c>
      <c r="C26" t="n">
        <v>2016</v>
      </c>
      <c r="D26" t="n">
        <v>1</v>
      </c>
      <c r="E26" t="n">
        <v>2451.376</v>
      </c>
      <c r="F26" t="n">
        <v>178.5459999999998</v>
      </c>
      <c r="G26" t="n">
        <v>7.855668923764636</v>
      </c>
      <c r="H26" t="n">
        <v>2304.614666666667</v>
      </c>
    </row>
    <row r="27">
      <c r="A27" s="4" t="n">
        <v>42429</v>
      </c>
      <c r="B27" t="inlineStr">
        <is>
          <t>2016-02</t>
        </is>
      </c>
      <c r="C27" t="n">
        <v>2016</v>
      </c>
      <c r="D27" t="n">
        <v>2</v>
      </c>
      <c r="E27" t="n">
        <v>2232.400000000001</v>
      </c>
      <c r="F27" t="n">
        <v>-218.9759999999997</v>
      </c>
      <c r="G27" t="n">
        <v>-8.932778978010703</v>
      </c>
      <c r="H27" t="n">
        <v>2318.868666666667</v>
      </c>
    </row>
    <row r="28">
      <c r="A28" s="4" t="n">
        <v>42460</v>
      </c>
      <c r="B28" t="inlineStr">
        <is>
          <t>2016-03</t>
        </is>
      </c>
      <c r="C28" t="n">
        <v>2016</v>
      </c>
      <c r="D28" t="n">
        <v>3</v>
      </c>
      <c r="E28" t="n">
        <v>2250.169000000001</v>
      </c>
      <c r="F28" t="n">
        <v>17.76900000000023</v>
      </c>
      <c r="G28" t="n">
        <v>0.7959595054649826</v>
      </c>
      <c r="H28" t="n">
        <v>2311.315000000001</v>
      </c>
    </row>
    <row r="29">
      <c r="A29" s="4" t="n">
        <v>42490</v>
      </c>
      <c r="B29" t="inlineStr">
        <is>
          <t>2016-04</t>
        </is>
      </c>
      <c r="C29" t="n">
        <v>2016</v>
      </c>
      <c r="D29" t="n">
        <v>4</v>
      </c>
      <c r="E29" t="n">
        <v>2173.573</v>
      </c>
      <c r="F29" t="n">
        <v>-76.59600000000046</v>
      </c>
      <c r="G29" t="n">
        <v>-3.404010987619166</v>
      </c>
      <c r="H29" t="n">
        <v>2218.714</v>
      </c>
    </row>
    <row r="30">
      <c r="A30" s="4" t="n">
        <v>42521</v>
      </c>
      <c r="B30" t="inlineStr">
        <is>
          <t>2016-05</t>
        </is>
      </c>
      <c r="C30" t="n">
        <v>2016</v>
      </c>
      <c r="D30" t="n">
        <v>5</v>
      </c>
      <c r="E30" t="n">
        <v>1977.021</v>
      </c>
      <c r="F30" t="n">
        <v>-196.5519999999999</v>
      </c>
      <c r="G30" t="n">
        <v>-9.042806475788934</v>
      </c>
      <c r="H30" t="n">
        <v>2133.587666666668</v>
      </c>
    </row>
    <row r="31">
      <c r="A31" s="4" t="n">
        <v>42551</v>
      </c>
      <c r="B31" t="inlineStr">
        <is>
          <t>2016-06</t>
        </is>
      </c>
      <c r="C31" t="n">
        <v>2016</v>
      </c>
      <c r="D31" t="n">
        <v>6</v>
      </c>
      <c r="E31" t="n">
        <v>1755.231</v>
      </c>
      <c r="F31" t="n">
        <v>-221.7900000000004</v>
      </c>
      <c r="G31" t="n">
        <v>-11.21839373481619</v>
      </c>
      <c r="H31" t="n">
        <v>1968.608333333334</v>
      </c>
    </row>
    <row r="32">
      <c r="A32" s="4" t="n">
        <v>42582</v>
      </c>
      <c r="B32" t="inlineStr">
        <is>
          <t>2016-07</t>
        </is>
      </c>
      <c r="C32" t="n">
        <v>2016</v>
      </c>
      <c r="D32" t="n">
        <v>7</v>
      </c>
      <c r="E32" t="n">
        <v>1609.081</v>
      </c>
      <c r="F32" t="n">
        <v>-146.1500000000001</v>
      </c>
      <c r="G32" t="n">
        <v>-8.326539355788498</v>
      </c>
      <c r="H32" t="n">
        <v>1780.444333333334</v>
      </c>
    </row>
    <row r="33">
      <c r="A33" s="4" t="n">
        <v>42613</v>
      </c>
      <c r="B33" t="inlineStr">
        <is>
          <t>2016-08</t>
        </is>
      </c>
      <c r="C33" t="n">
        <v>2016</v>
      </c>
      <c r="D33" t="n">
        <v>8</v>
      </c>
      <c r="E33" t="n">
        <v>1700.055</v>
      </c>
      <c r="F33" t="n">
        <v>90.9740000000004</v>
      </c>
      <c r="G33" t="n">
        <v>5.653786229531033</v>
      </c>
      <c r="H33" t="n">
        <v>1688.122333333334</v>
      </c>
    </row>
    <row r="34">
      <c r="A34" s="4" t="n">
        <v>42643</v>
      </c>
      <c r="B34" t="inlineStr">
        <is>
          <t>2016-09</t>
        </is>
      </c>
      <c r="C34" t="n">
        <v>2016</v>
      </c>
      <c r="D34" t="n">
        <v>9</v>
      </c>
      <c r="E34" t="n">
        <v>2049.877</v>
      </c>
      <c r="F34" t="n">
        <v>349.8219999999997</v>
      </c>
      <c r="G34" t="n">
        <v>20.57709897620956</v>
      </c>
      <c r="H34" t="n">
        <v>1786.337666666667</v>
      </c>
    </row>
    <row r="35">
      <c r="A35" s="4" t="n">
        <v>42674</v>
      </c>
      <c r="B35" t="inlineStr">
        <is>
          <t>2016-10</t>
        </is>
      </c>
      <c r="C35" t="n">
        <v>2016</v>
      </c>
      <c r="D35" t="n">
        <v>10</v>
      </c>
      <c r="E35" t="n">
        <v>2710.141000000001</v>
      </c>
      <c r="F35" t="n">
        <v>660.2640000000015</v>
      </c>
      <c r="G35" t="n">
        <v>32.20993259595583</v>
      </c>
      <c r="H35" t="n">
        <v>2153.357666666667</v>
      </c>
    </row>
    <row r="36">
      <c r="A36" s="4" t="n">
        <v>42704</v>
      </c>
      <c r="B36" t="inlineStr">
        <is>
          <t>2016-11</t>
        </is>
      </c>
      <c r="C36" t="n">
        <v>2016</v>
      </c>
      <c r="D36" t="n">
        <v>11</v>
      </c>
      <c r="E36" t="n">
        <v>1962.766</v>
      </c>
      <c r="F36" t="n">
        <v>-747.3750000000009</v>
      </c>
      <c r="G36" t="n">
        <v>-27.57697846717202</v>
      </c>
      <c r="H36" t="n">
        <v>2240.928000000001</v>
      </c>
    </row>
    <row r="37">
      <c r="A37" s="4" t="n">
        <v>42735</v>
      </c>
      <c r="B37" t="inlineStr">
        <is>
          <t>2016-12</t>
        </is>
      </c>
      <c r="C37" t="n">
        <v>2016</v>
      </c>
      <c r="D37" t="n">
        <v>12</v>
      </c>
      <c r="E37" t="n">
        <v>2646.011</v>
      </c>
      <c r="F37" t="n">
        <v>683.2449999999999</v>
      </c>
      <c r="G37" t="n">
        <v>34.81031360844846</v>
      </c>
      <c r="H37" t="n">
        <v>2439.639333333334</v>
      </c>
    </row>
    <row r="38">
      <c r="A38" s="4" t="n">
        <v>42766</v>
      </c>
      <c r="B38" t="inlineStr">
        <is>
          <t>2017-01</t>
        </is>
      </c>
      <c r="C38" t="n">
        <v>2017</v>
      </c>
      <c r="D38" t="n">
        <v>1</v>
      </c>
      <c r="E38" t="n">
        <v>1</v>
      </c>
      <c r="F38" t="n">
        <v>-2645.011</v>
      </c>
      <c r="G38" t="n">
        <v>-99.96220726217692</v>
      </c>
      <c r="H38" t="n">
        <v>1536.592333333334</v>
      </c>
    </row>
    <row r="39">
      <c r="A39" s="4" t="n">
        <v>42794</v>
      </c>
      <c r="B39" t="inlineStr">
        <is>
          <t>2017-02</t>
        </is>
      </c>
      <c r="C39" t="n">
        <v>2017</v>
      </c>
      <c r="D39" t="n">
        <v>2</v>
      </c>
      <c r="E39" t="n">
        <v>1165.157</v>
      </c>
      <c r="F39" t="n">
        <v>1164.157</v>
      </c>
      <c r="G39" t="n">
        <v>116415.7</v>
      </c>
      <c r="H39" t="n">
        <v>1270.722666666667</v>
      </c>
    </row>
    <row r="40">
      <c r="A40" s="4" t="n">
        <v>42825</v>
      </c>
      <c r="B40" t="inlineStr">
        <is>
          <t>2017-03</t>
        </is>
      </c>
      <c r="C40" t="n">
        <v>2017</v>
      </c>
      <c r="D40" t="n">
        <v>3</v>
      </c>
      <c r="E40" t="n">
        <v>1406.855</v>
      </c>
      <c r="F40" t="n">
        <v>241.6980000000001</v>
      </c>
      <c r="G40" t="n">
        <v>20.74381392378881</v>
      </c>
      <c r="H40" t="n">
        <v>857.6706666666672</v>
      </c>
    </row>
    <row r="41">
      <c r="A41" s="4" t="n">
        <v>42855</v>
      </c>
      <c r="B41" t="inlineStr">
        <is>
          <t>2017-04</t>
        </is>
      </c>
      <c r="C41" t="n">
        <v>2017</v>
      </c>
      <c r="D41" t="n">
        <v>4</v>
      </c>
      <c r="E41" t="n">
        <v>1369.925</v>
      </c>
      <c r="F41" t="n">
        <v>-36.93000000000029</v>
      </c>
      <c r="G41" t="n">
        <v>-2.625003998279873</v>
      </c>
      <c r="H41" t="n">
        <v>1313.979</v>
      </c>
    </row>
    <row r="42">
      <c r="A42" s="4" t="n">
        <v>42886</v>
      </c>
      <c r="B42" t="inlineStr">
        <is>
          <t>2017-05</t>
        </is>
      </c>
      <c r="C42" t="n">
        <v>2017</v>
      </c>
      <c r="D42" t="n">
        <v>5</v>
      </c>
      <c r="E42" t="n">
        <v>1369.485</v>
      </c>
      <c r="F42" t="n">
        <v>-0.4400000000000545</v>
      </c>
      <c r="G42" t="n">
        <v>-0.0321185466357731</v>
      </c>
      <c r="H42" t="n">
        <v>1382.088333333334</v>
      </c>
    </row>
    <row r="43">
      <c r="A43" s="4" t="n">
        <v>42916</v>
      </c>
      <c r="B43" t="inlineStr">
        <is>
          <t>2017-06</t>
        </is>
      </c>
      <c r="C43" t="n">
        <v>2017</v>
      </c>
      <c r="D43" t="n">
        <v>6</v>
      </c>
      <c r="E43" t="n">
        <v>1326.936</v>
      </c>
      <c r="F43" t="n">
        <v>-42.54899999999998</v>
      </c>
      <c r="G43" t="n">
        <v>-3.10693435853624</v>
      </c>
      <c r="H43" t="n">
        <v>1355.448666666667</v>
      </c>
    </row>
    <row r="44">
      <c r="A44" s="4" t="n">
        <v>42947</v>
      </c>
      <c r="B44" t="inlineStr">
        <is>
          <t>2017-07</t>
        </is>
      </c>
      <c r="C44" t="n">
        <v>2017</v>
      </c>
      <c r="D44" t="n">
        <v>7</v>
      </c>
      <c r="E44" t="n">
        <v>1260.526</v>
      </c>
      <c r="F44" t="n">
        <v>-66.40999999999985</v>
      </c>
      <c r="G44" t="n">
        <v>-5.00476285216468</v>
      </c>
      <c r="H44" t="n">
        <v>1318.982333333334</v>
      </c>
    </row>
    <row r="45">
      <c r="A45" s="4" t="n">
        <v>42978</v>
      </c>
      <c r="B45" t="inlineStr">
        <is>
          <t>2017-08</t>
        </is>
      </c>
      <c r="C45" t="n">
        <v>2017</v>
      </c>
      <c r="D45" t="n">
        <v>8</v>
      </c>
      <c r="E45" t="n">
        <v>1302.42</v>
      </c>
      <c r="F45" t="n">
        <v>41.89399999999978</v>
      </c>
      <c r="G45" t="n">
        <v>3.323533191699313</v>
      </c>
      <c r="H45" t="n">
        <v>1296.627333333334</v>
      </c>
    </row>
    <row r="46">
      <c r="A46" s="4" t="n">
        <v>43008</v>
      </c>
      <c r="B46" t="inlineStr">
        <is>
          <t>2017-09</t>
        </is>
      </c>
      <c r="C46" t="n">
        <v>2017</v>
      </c>
      <c r="D46" t="n">
        <v>9</v>
      </c>
      <c r="E46" t="n">
        <v>1660.841</v>
      </c>
      <c r="F46" t="n">
        <v>358.4210000000005</v>
      </c>
      <c r="G46" t="n">
        <v>27.51961732774377</v>
      </c>
      <c r="H46" t="n">
        <v>1407.929</v>
      </c>
    </row>
    <row r="47">
      <c r="A47" s="4" t="n">
        <v>43039</v>
      </c>
      <c r="B47" t="inlineStr">
        <is>
          <t>2017-10</t>
        </is>
      </c>
      <c r="C47" t="n">
        <v>2017</v>
      </c>
      <c r="D47" t="n">
        <v>10</v>
      </c>
      <c r="E47" t="n">
        <v>2050.127</v>
      </c>
      <c r="F47" t="n">
        <v>389.2860000000001</v>
      </c>
      <c r="G47" t="n">
        <v>23.43908899166145</v>
      </c>
      <c r="H47" t="n">
        <v>1671.129333333334</v>
      </c>
    </row>
    <row r="48">
      <c r="A48" s="4" t="n">
        <v>43069</v>
      </c>
      <c r="B48" t="inlineStr">
        <is>
          <t>2017-11</t>
        </is>
      </c>
      <c r="C48" t="n">
        <v>2017</v>
      </c>
      <c r="D48" t="n">
        <v>11</v>
      </c>
      <c r="E48" t="n">
        <v>1705.579</v>
      </c>
      <c r="F48" t="n">
        <v>-344.5480000000002</v>
      </c>
      <c r="G48" t="n">
        <v>-16.80617834895107</v>
      </c>
      <c r="H48" t="n">
        <v>1805.515666666668</v>
      </c>
    </row>
    <row r="49">
      <c r="A49" s="4" t="n">
        <v>43100</v>
      </c>
      <c r="B49" t="inlineStr">
        <is>
          <t>2017-12</t>
        </is>
      </c>
      <c r="C49" t="n">
        <v>2017</v>
      </c>
      <c r="D49" t="n">
        <v>12</v>
      </c>
      <c r="E49" t="n">
        <v>1887.103</v>
      </c>
      <c r="F49" t="n">
        <v>181.5239999999999</v>
      </c>
      <c r="G49" t="n">
        <v>10.64295467990635</v>
      </c>
      <c r="H49" t="n">
        <v>1880.936333333334</v>
      </c>
    </row>
    <row r="50">
      <c r="A50" s="4" t="n">
        <v>43131</v>
      </c>
      <c r="B50" t="inlineStr">
        <is>
          <t>2018-01</t>
        </is>
      </c>
      <c r="C50" t="n">
        <v>2018</v>
      </c>
      <c r="D50" t="n">
        <v>1</v>
      </c>
      <c r="E50" t="n">
        <v>1985.701</v>
      </c>
      <c r="F50" t="n">
        <v>98.59799999999996</v>
      </c>
      <c r="G50" t="n">
        <v>5.224834044564597</v>
      </c>
      <c r="H50" t="n">
        <v>1859.461</v>
      </c>
    </row>
    <row r="51">
      <c r="A51" s="4" t="n">
        <v>43159</v>
      </c>
      <c r="B51" t="inlineStr">
        <is>
          <t>2018-02</t>
        </is>
      </c>
      <c r="C51" t="n">
        <v>2018</v>
      </c>
      <c r="D51" t="n">
        <v>2</v>
      </c>
      <c r="E51" t="n">
        <v>2203.248000000001</v>
      </c>
      <c r="F51" t="n">
        <v>217.5470000000009</v>
      </c>
      <c r="G51" t="n">
        <v>10.95567761712368</v>
      </c>
      <c r="H51" t="n">
        <v>2025.350666666667</v>
      </c>
    </row>
    <row r="52">
      <c r="A52" s="4" t="n">
        <v>43190</v>
      </c>
      <c r="B52" t="inlineStr">
        <is>
          <t>2018-03</t>
        </is>
      </c>
      <c r="C52" t="n">
        <v>2018</v>
      </c>
      <c r="D52" t="n">
        <v>3</v>
      </c>
      <c r="E52" t="n">
        <v>2156.847</v>
      </c>
      <c r="F52" t="n">
        <v>-46.40100000000075</v>
      </c>
      <c r="G52" t="n">
        <v>-2.106027101806096</v>
      </c>
      <c r="H52" t="n">
        <v>2115.265333333334</v>
      </c>
    </row>
    <row r="53">
      <c r="A53" s="4" t="n">
        <v>43220</v>
      </c>
      <c r="B53" t="inlineStr">
        <is>
          <t>2018-04</t>
        </is>
      </c>
      <c r="C53" t="n">
        <v>2018</v>
      </c>
      <c r="D53" t="n">
        <v>4</v>
      </c>
      <c r="E53" t="n">
        <v>1934.48</v>
      </c>
      <c r="F53" t="n">
        <v>-222.3670000000002</v>
      </c>
      <c r="G53" t="n">
        <v>-10.30981798894406</v>
      </c>
      <c r="H53" t="n">
        <v>2098.191666666668</v>
      </c>
    </row>
    <row r="54">
      <c r="A54" s="4" t="n">
        <v>43251</v>
      </c>
      <c r="B54" t="inlineStr">
        <is>
          <t>2018-05</t>
        </is>
      </c>
      <c r="C54" t="n">
        <v>2018</v>
      </c>
      <c r="D54" t="n">
        <v>5</v>
      </c>
      <c r="E54" t="n">
        <v>1675.13</v>
      </c>
      <c r="F54" t="n">
        <v>-259.3499999999997</v>
      </c>
      <c r="G54" t="n">
        <v>-13.40670361027251</v>
      </c>
      <c r="H54" t="n">
        <v>1922.152333333334</v>
      </c>
    </row>
    <row r="55">
      <c r="A55" s="4" t="n">
        <v>43281</v>
      </c>
      <c r="B55" t="inlineStr">
        <is>
          <t>2018-06</t>
        </is>
      </c>
      <c r="C55" t="n">
        <v>2018</v>
      </c>
      <c r="D55" t="n">
        <v>6</v>
      </c>
      <c r="E55" t="n">
        <v>1414.349</v>
      </c>
      <c r="F55" t="n">
        <v>-260.7810000000002</v>
      </c>
      <c r="G55" t="n">
        <v>-15.5678066776907</v>
      </c>
      <c r="H55" t="n">
        <v>1674.653</v>
      </c>
    </row>
    <row r="56">
      <c r="A56" s="4" t="n">
        <v>43312</v>
      </c>
      <c r="B56" t="inlineStr">
        <is>
          <t>2018-07</t>
        </is>
      </c>
      <c r="C56" t="n">
        <v>2018</v>
      </c>
      <c r="D56" t="n">
        <v>7</v>
      </c>
      <c r="E56" t="n">
        <v>1563.479</v>
      </c>
      <c r="F56" t="n">
        <v>149.1299999999999</v>
      </c>
      <c r="G56" t="n">
        <v>10.54407363387677</v>
      </c>
      <c r="H56" t="n">
        <v>1550.986000000001</v>
      </c>
    </row>
    <row r="57">
      <c r="A57" s="4" t="n">
        <v>43343</v>
      </c>
      <c r="B57" t="inlineStr">
        <is>
          <t>2018-08</t>
        </is>
      </c>
      <c r="C57" t="n">
        <v>2018</v>
      </c>
      <c r="D57" t="n">
        <v>8</v>
      </c>
      <c r="E57" t="n">
        <v>1611.907</v>
      </c>
      <c r="F57" t="n">
        <v>48.42799999999989</v>
      </c>
      <c r="G57" t="n">
        <v>3.097451260937945</v>
      </c>
      <c r="H57" t="n">
        <v>1529.911666666667</v>
      </c>
    </row>
    <row r="58">
      <c r="A58" s="4" t="n">
        <v>43373</v>
      </c>
      <c r="B58" t="inlineStr">
        <is>
          <t>2018-09</t>
        </is>
      </c>
      <c r="C58" t="n">
        <v>2018</v>
      </c>
      <c r="D58" t="n">
        <v>9</v>
      </c>
      <c r="E58" t="n">
        <v>1981.374</v>
      </c>
      <c r="F58" t="n">
        <v>369.4670000000003</v>
      </c>
      <c r="G58" t="n">
        <v>22.9211114537005</v>
      </c>
      <c r="H58" t="n">
        <v>1718.92</v>
      </c>
    </row>
    <row r="59">
      <c r="A59" s="4" t="n">
        <v>43404</v>
      </c>
      <c r="B59" t="inlineStr">
        <is>
          <t>2018-10</t>
        </is>
      </c>
      <c r="C59" t="n">
        <v>2018</v>
      </c>
      <c r="D59" t="n">
        <v>10</v>
      </c>
      <c r="E59" t="n">
        <v>2221.335</v>
      </c>
      <c r="F59" t="n">
        <v>239.9609999999998</v>
      </c>
      <c r="G59" t="n">
        <v>12.11083823649648</v>
      </c>
      <c r="H59" t="n">
        <v>1938.205333333334</v>
      </c>
    </row>
    <row r="60">
      <c r="A60" s="4" t="n">
        <v>43434</v>
      </c>
      <c r="B60" t="inlineStr">
        <is>
          <t>2018-11</t>
        </is>
      </c>
      <c r="C60" t="n">
        <v>2018</v>
      </c>
      <c r="D60" t="n">
        <v>11</v>
      </c>
      <c r="E60" t="n">
        <v>2008.677</v>
      </c>
      <c r="F60" t="n">
        <v>-212.6579999999999</v>
      </c>
      <c r="G60" t="n">
        <v>-9.573432192802978</v>
      </c>
      <c r="H60" t="n">
        <v>2070.462</v>
      </c>
    </row>
    <row r="61">
      <c r="A61" s="4" t="n">
        <v>43465</v>
      </c>
      <c r="B61" t="inlineStr">
        <is>
          <t>2018-12</t>
        </is>
      </c>
      <c r="C61" t="n">
        <v>2018</v>
      </c>
      <c r="D61" t="n">
        <v>12</v>
      </c>
      <c r="E61" t="n">
        <v>2277.534</v>
      </c>
      <c r="F61" t="n">
        <v>268.857</v>
      </c>
      <c r="G61" t="n">
        <v>13.38478013139992</v>
      </c>
      <c r="H61" t="n">
        <v>2169.182</v>
      </c>
    </row>
    <row r="62">
      <c r="A62" s="4" t="n">
        <v>43496</v>
      </c>
      <c r="B62" t="inlineStr">
        <is>
          <t>2019-01</t>
        </is>
      </c>
      <c r="C62" t="n">
        <v>2019</v>
      </c>
      <c r="D62" t="n">
        <v>1</v>
      </c>
      <c r="E62" t="n">
        <v>2907.863000000001</v>
      </c>
      <c r="F62" t="n">
        <v>630.3290000000011</v>
      </c>
      <c r="G62" t="n">
        <v>27.6759424886742</v>
      </c>
      <c r="H62" t="n">
        <v>2398.024666666668</v>
      </c>
    </row>
    <row r="63">
      <c r="A63" s="4" t="n">
        <v>43524</v>
      </c>
      <c r="B63" t="inlineStr">
        <is>
          <t>2019-02</t>
        </is>
      </c>
      <c r="C63" t="n">
        <v>2019</v>
      </c>
      <c r="D63" t="n">
        <v>2</v>
      </c>
      <c r="E63" t="n">
        <v>1944.197000000001</v>
      </c>
      <c r="F63" t="n">
        <v>-963.6660000000006</v>
      </c>
      <c r="G63" t="n">
        <v>-33.14000693980426</v>
      </c>
      <c r="H63" t="n">
        <v>2376.531333333334</v>
      </c>
    </row>
    <row r="64">
      <c r="A64" s="4" t="n">
        <v>43555</v>
      </c>
      <c r="B64" t="inlineStr">
        <is>
          <t>2019-03</t>
        </is>
      </c>
      <c r="C64" t="n">
        <v>2019</v>
      </c>
      <c r="D64" t="n">
        <v>3</v>
      </c>
      <c r="E64" t="n">
        <v>2038.938</v>
      </c>
      <c r="F64" t="n">
        <v>94.7409999999993</v>
      </c>
      <c r="G64" t="n">
        <v>4.87301441160537</v>
      </c>
      <c r="H64" t="n">
        <v>2296.999333333334</v>
      </c>
    </row>
    <row r="65">
      <c r="A65" s="4" t="n">
        <v>43585</v>
      </c>
      <c r="B65" t="inlineStr">
        <is>
          <t>2019-04</t>
        </is>
      </c>
      <c r="C65" t="n">
        <v>2019</v>
      </c>
      <c r="D65" t="n">
        <v>4</v>
      </c>
      <c r="E65" t="n">
        <v>1756.805</v>
      </c>
      <c r="F65" t="n">
        <v>-282.1329999999996</v>
      </c>
      <c r="G65" t="n">
        <v>-13.83725253048399</v>
      </c>
      <c r="H65" t="n">
        <v>1913.313333333334</v>
      </c>
    </row>
    <row r="66">
      <c r="A66" s="4" t="n">
        <v>43616</v>
      </c>
      <c r="B66" t="inlineStr">
        <is>
          <t>2019-05</t>
        </is>
      </c>
      <c r="C66" t="n">
        <v>2019</v>
      </c>
      <c r="D66" t="n">
        <v>5</v>
      </c>
      <c r="E66" t="n">
        <v>1822.16</v>
      </c>
      <c r="F66" t="n">
        <v>65.35500000000002</v>
      </c>
      <c r="G66" t="n">
        <v>3.72010553248654</v>
      </c>
      <c r="H66" t="n">
        <v>1872.634333333334</v>
      </c>
    </row>
    <row r="67">
      <c r="A67" s="4" t="n">
        <v>43646</v>
      </c>
      <c r="B67" t="inlineStr">
        <is>
          <t>2019-06</t>
        </is>
      </c>
      <c r="C67" t="n">
        <v>2019</v>
      </c>
      <c r="D67" t="n">
        <v>6</v>
      </c>
      <c r="E67" t="n">
        <v>1482.407</v>
      </c>
      <c r="F67" t="n">
        <v>-339.7530000000002</v>
      </c>
      <c r="G67" t="n">
        <v>-18.64561838696932</v>
      </c>
      <c r="H67" t="n">
        <v>1687.124</v>
      </c>
    </row>
    <row r="68">
      <c r="A68" s="4" t="n">
        <v>43677</v>
      </c>
      <c r="B68" t="inlineStr">
        <is>
          <t>2019-07</t>
        </is>
      </c>
      <c r="C68" t="n">
        <v>2019</v>
      </c>
      <c r="D68" t="n">
        <v>7</v>
      </c>
      <c r="E68" t="n">
        <v>1517.941</v>
      </c>
      <c r="F68" t="n">
        <v>35.53399999999988</v>
      </c>
      <c r="G68" t="n">
        <v>2.39704750449774</v>
      </c>
      <c r="H68" t="n">
        <v>1607.502666666667</v>
      </c>
    </row>
    <row r="69">
      <c r="A69" s="4" t="n">
        <v>43708</v>
      </c>
      <c r="B69" t="inlineStr">
        <is>
          <t>2019-08</t>
        </is>
      </c>
      <c r="C69" t="n">
        <v>2019</v>
      </c>
      <c r="D69" t="n">
        <v>8</v>
      </c>
      <c r="E69" t="n">
        <v>1377.779</v>
      </c>
      <c r="F69" t="n">
        <v>-140.162</v>
      </c>
      <c r="G69" t="n">
        <v>-9.233692218604016</v>
      </c>
      <c r="H69" t="n">
        <v>1459.375666666667</v>
      </c>
    </row>
    <row r="70">
      <c r="A70" s="4" t="n">
        <v>43738</v>
      </c>
      <c r="B70" t="inlineStr">
        <is>
          <t>2019-09</t>
        </is>
      </c>
      <c r="C70" t="n">
        <v>2019</v>
      </c>
      <c r="D70" t="n">
        <v>9</v>
      </c>
      <c r="E70" t="n">
        <v>1864.387</v>
      </c>
      <c r="F70" t="n">
        <v>486.6080000000002</v>
      </c>
      <c r="G70" t="n">
        <v>35.31829124990293</v>
      </c>
      <c r="H70" t="n">
        <v>1586.702333333334</v>
      </c>
    </row>
    <row r="71">
      <c r="A71" s="4" t="n">
        <v>43769</v>
      </c>
      <c r="B71" t="inlineStr">
        <is>
          <t>2019-10</t>
        </is>
      </c>
      <c r="C71" t="n">
        <v>2019</v>
      </c>
      <c r="D71" t="n">
        <v>10</v>
      </c>
      <c r="E71" t="n">
        <v>538.6</v>
      </c>
      <c r="F71" t="n">
        <v>-1325.787</v>
      </c>
      <c r="G71" t="n">
        <v>-71.11114806099808</v>
      </c>
      <c r="H71" t="n">
        <v>1260.255333333334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21" customWidth="1" min="3" max="3"/>
    <col width="21" customWidth="1" min="4" max="4"/>
    <col width="19" customWidth="1" min="5" max="5"/>
  </cols>
  <sheetData>
    <row r="1">
      <c r="A1" s="3" t="inlineStr">
        <is>
          <t>Rank</t>
        </is>
      </c>
      <c r="B1" s="3" t="inlineStr">
        <is>
          <t>Category</t>
        </is>
      </c>
      <c r="C1" s="3" t="inlineStr">
        <is>
          <t>Total</t>
        </is>
      </c>
      <c r="D1" s="3" t="inlineStr">
        <is>
          <t>Avg_Monthly</t>
        </is>
      </c>
      <c r="E1" s="3" t="inlineStr">
        <is>
          <t>Contribution_Pct</t>
        </is>
      </c>
    </row>
    <row r="2">
      <c r="A2" t="n">
        <v>1</v>
      </c>
      <c r="B2" t="inlineStr">
        <is>
          <t>N02BE</t>
        </is>
      </c>
      <c r="C2" t="n">
        <v>62477.94500000001</v>
      </c>
      <c r="D2" t="n">
        <v>892.5420714285715</v>
      </c>
      <c r="E2" t="n">
        <v>49.36</v>
      </c>
    </row>
    <row r="3">
      <c r="A3" t="n">
        <v>2</v>
      </c>
      <c r="B3" t="inlineStr">
        <is>
          <t>N05B</t>
        </is>
      </c>
      <c r="C3" t="n">
        <v>18348.3</v>
      </c>
      <c r="D3" t="n">
        <v>262.1185714285714</v>
      </c>
      <c r="E3" t="n">
        <v>14.49</v>
      </c>
    </row>
    <row r="4">
      <c r="A4" t="n">
        <v>3</v>
      </c>
      <c r="B4" t="inlineStr">
        <is>
          <t>R03</t>
        </is>
      </c>
      <c r="C4" t="n">
        <v>11737.25</v>
      </c>
      <c r="D4" t="n">
        <v>167.675</v>
      </c>
      <c r="E4" t="n">
        <v>9.27</v>
      </c>
    </row>
    <row r="5">
      <c r="A5" t="n">
        <v>4</v>
      </c>
      <c r="B5" t="inlineStr">
        <is>
          <t>M01AB</t>
        </is>
      </c>
      <c r="C5" t="n">
        <v>10499.44</v>
      </c>
      <c r="D5" t="n">
        <v>149.992</v>
      </c>
      <c r="E5" t="n">
        <v>8.289999999999999</v>
      </c>
    </row>
    <row r="6">
      <c r="A6" t="n">
        <v>5</v>
      </c>
      <c r="B6" t="inlineStr">
        <is>
          <t>M01AE</t>
        </is>
      </c>
      <c r="C6" t="n">
        <v>8156.000000000003</v>
      </c>
      <c r="D6" t="n">
        <v>116.5142857142858</v>
      </c>
      <c r="E6" t="n">
        <v>6.44</v>
      </c>
    </row>
    <row r="7">
      <c r="A7" t="n">
        <v>6</v>
      </c>
      <c r="B7" t="inlineStr">
        <is>
          <t>N02BA</t>
        </is>
      </c>
      <c r="C7" t="n">
        <v>8051.459</v>
      </c>
      <c r="D7" t="n">
        <v>115.0208428571428</v>
      </c>
      <c r="E7" t="n">
        <v>6.36</v>
      </c>
    </row>
    <row r="8">
      <c r="A8" t="n">
        <v>7</v>
      </c>
      <c r="B8" t="inlineStr">
        <is>
          <t>R06</t>
        </is>
      </c>
      <c r="C8" t="n">
        <v>6066.38</v>
      </c>
      <c r="D8" t="n">
        <v>86.66257142857143</v>
      </c>
      <c r="E8" t="n">
        <v>4.79</v>
      </c>
    </row>
    <row r="9">
      <c r="A9" t="n">
        <v>8</v>
      </c>
      <c r="B9" t="inlineStr">
        <is>
          <t>N05C</t>
        </is>
      </c>
      <c r="C9" t="n">
        <v>1249</v>
      </c>
      <c r="D9" t="n">
        <v>17.84285714285714</v>
      </c>
      <c r="E9" t="n">
        <v>0.99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cols>
    <col width="13" customWidth="1" min="1" max="1"/>
    <col width="21" customWidth="1" min="2" max="2"/>
    <col width="40" customWidth="1" min="3" max="3"/>
    <col width="40" customWidth="1" min="4" max="4"/>
    <col width="40" customWidth="1" min="5" max="5"/>
    <col width="26" customWidth="1" min="6" max="6"/>
  </cols>
  <sheetData>
    <row r="1">
      <c r="A1" s="3" t="inlineStr">
        <is>
          <t>Date</t>
        </is>
      </c>
      <c r="B1" s="3" t="inlineStr">
        <is>
          <t>Actual_Sales</t>
        </is>
      </c>
      <c r="C1" s="3" t="inlineStr">
        <is>
          <t>Forecast_ETS</t>
        </is>
      </c>
      <c r="D1" s="3" t="inlineStr">
        <is>
          <t>Lower_Bound</t>
        </is>
      </c>
      <c r="E1" s="3" t="inlineStr">
        <is>
          <t>Upper_Bound</t>
        </is>
      </c>
      <c r="F1" s="3" t="inlineStr">
        <is>
          <t>Status</t>
        </is>
      </c>
    </row>
    <row r="2">
      <c r="A2" s="5" t="n">
        <v>41670</v>
      </c>
      <c r="B2" t="n">
        <v>1821.11</v>
      </c>
      <c r="F2" t="inlineStr">
        <is>
          <t>Training</t>
        </is>
      </c>
    </row>
    <row r="3">
      <c r="A3" s="5" t="n">
        <v>41698</v>
      </c>
      <c r="B3" t="n">
        <v>1974.47</v>
      </c>
      <c r="F3" t="inlineStr">
        <is>
          <t>Training</t>
        </is>
      </c>
    </row>
    <row r="4">
      <c r="A4" s="5" t="n">
        <v>41729</v>
      </c>
      <c r="B4" t="n">
        <v>1606.72</v>
      </c>
      <c r="F4" t="inlineStr">
        <is>
          <t>Training</t>
        </is>
      </c>
    </row>
    <row r="5">
      <c r="A5" s="5" t="n">
        <v>41759</v>
      </c>
      <c r="B5" t="n">
        <v>1429.675</v>
      </c>
      <c r="F5" t="inlineStr">
        <is>
          <t>Training</t>
        </is>
      </c>
    </row>
    <row r="6">
      <c r="A6" s="5" t="n">
        <v>41790</v>
      </c>
      <c r="B6" t="n">
        <v>1506.303</v>
      </c>
      <c r="F6" t="inlineStr">
        <is>
          <t>Training</t>
        </is>
      </c>
    </row>
    <row r="7">
      <c r="A7" s="5" t="n">
        <v>41820</v>
      </c>
      <c r="B7" t="n">
        <v>1390.205</v>
      </c>
      <c r="F7" t="inlineStr">
        <is>
          <t>Training</t>
        </is>
      </c>
    </row>
    <row r="8">
      <c r="A8" s="5" t="n">
        <v>41851</v>
      </c>
      <c r="B8" t="n">
        <v>1332.37</v>
      </c>
      <c r="F8" t="inlineStr">
        <is>
          <t>Training</t>
        </is>
      </c>
    </row>
    <row r="9">
      <c r="A9" s="5" t="n">
        <v>41882</v>
      </c>
      <c r="B9" t="n">
        <v>1499.02</v>
      </c>
      <c r="F9" t="inlineStr">
        <is>
          <t>Training</t>
        </is>
      </c>
    </row>
    <row r="10">
      <c r="A10" s="5" t="n">
        <v>41912</v>
      </c>
      <c r="B10" t="n">
        <v>1814.594</v>
      </c>
      <c r="F10" t="inlineStr">
        <is>
          <t>Training</t>
        </is>
      </c>
    </row>
    <row r="11">
      <c r="A11" s="5" t="n">
        <v>41943</v>
      </c>
      <c r="B11" t="n">
        <v>3146.906</v>
      </c>
      <c r="F11" t="inlineStr">
        <is>
          <t>Training</t>
        </is>
      </c>
    </row>
    <row r="12">
      <c r="A12" s="5" t="n">
        <v>41973</v>
      </c>
      <c r="B12" t="n">
        <v>1770.64</v>
      </c>
      <c r="F12" t="inlineStr">
        <is>
          <t>Training</t>
        </is>
      </c>
    </row>
    <row r="13">
      <c r="A13" s="5" t="n">
        <v>42004</v>
      </c>
      <c r="B13" t="n">
        <v>2093.485</v>
      </c>
      <c r="F13" t="inlineStr">
        <is>
          <t>Training</t>
        </is>
      </c>
    </row>
    <row r="14">
      <c r="A14" s="5" t="n">
        <v>42035</v>
      </c>
      <c r="B14" t="n">
        <v>2157.749</v>
      </c>
      <c r="F14" t="inlineStr">
        <is>
          <t>Training</t>
        </is>
      </c>
    </row>
    <row r="15">
      <c r="A15" s="5" t="n">
        <v>42063</v>
      </c>
      <c r="B15" t="n">
        <v>1831.532</v>
      </c>
      <c r="F15" t="inlineStr">
        <is>
          <t>Training</t>
        </is>
      </c>
    </row>
    <row r="16">
      <c r="A16" s="5" t="n">
        <v>42094</v>
      </c>
      <c r="B16" t="n">
        <v>1974.076</v>
      </c>
      <c r="F16" t="inlineStr">
        <is>
          <t>Training</t>
        </is>
      </c>
    </row>
    <row r="17">
      <c r="A17" s="5" t="n">
        <v>42124</v>
      </c>
      <c r="B17" t="n">
        <v>1723.885</v>
      </c>
      <c r="F17" t="inlineStr">
        <is>
          <t>Training</t>
        </is>
      </c>
    </row>
    <row r="18">
      <c r="A18" s="5" t="n">
        <v>42155</v>
      </c>
      <c r="B18" t="n">
        <v>1644.577</v>
      </c>
      <c r="F18" t="inlineStr">
        <is>
          <t>Training</t>
        </is>
      </c>
    </row>
    <row r="19">
      <c r="A19" s="5" t="n">
        <v>42185</v>
      </c>
      <c r="B19" t="n">
        <v>1705.608</v>
      </c>
      <c r="F19" t="inlineStr">
        <is>
          <t>Training</t>
        </is>
      </c>
    </row>
    <row r="20">
      <c r="A20" s="5" t="n">
        <v>42216</v>
      </c>
      <c r="B20" t="n">
        <v>1523.048</v>
      </c>
      <c r="F20" t="inlineStr">
        <is>
          <t>Training</t>
        </is>
      </c>
    </row>
    <row r="21">
      <c r="A21" s="5" t="n">
        <v>42247</v>
      </c>
      <c r="B21" t="n">
        <v>1659.597</v>
      </c>
      <c r="F21" t="inlineStr">
        <is>
          <t>Training</t>
        </is>
      </c>
    </row>
    <row r="22">
      <c r="A22" s="5" t="n">
        <v>42277</v>
      </c>
      <c r="B22" t="n">
        <v>1679.367</v>
      </c>
      <c r="F22" t="inlineStr">
        <is>
          <t>Training</t>
        </is>
      </c>
    </row>
    <row r="23">
      <c r="A23" s="5" t="n">
        <v>42308</v>
      </c>
      <c r="B23" t="n">
        <v>2529.576000000001</v>
      </c>
      <c r="F23" t="inlineStr">
        <is>
          <t>Training</t>
        </is>
      </c>
    </row>
    <row r="24">
      <c r="A24" s="5" t="n">
        <v>42338</v>
      </c>
      <c r="B24" t="n">
        <v>2189.638</v>
      </c>
      <c r="F24" t="inlineStr">
        <is>
          <t>Training</t>
        </is>
      </c>
    </row>
    <row r="25">
      <c r="A25" s="5" t="n">
        <v>42369</v>
      </c>
      <c r="B25" t="n">
        <v>2272.83</v>
      </c>
      <c r="F25" t="inlineStr">
        <is>
          <t>Training</t>
        </is>
      </c>
    </row>
    <row r="26">
      <c r="A26" s="5" t="n">
        <v>42400</v>
      </c>
      <c r="B26" t="n">
        <v>2451.376</v>
      </c>
      <c r="F26" t="inlineStr">
        <is>
          <t>Training</t>
        </is>
      </c>
    </row>
    <row r="27">
      <c r="A27" s="5" t="n">
        <v>42429</v>
      </c>
      <c r="B27" t="n">
        <v>2232.400000000001</v>
      </c>
      <c r="F27" t="inlineStr">
        <is>
          <t>Training</t>
        </is>
      </c>
    </row>
    <row r="28">
      <c r="A28" s="5" t="n">
        <v>42460</v>
      </c>
      <c r="B28" t="n">
        <v>2250.169000000001</v>
      </c>
      <c r="F28" t="inlineStr">
        <is>
          <t>Training</t>
        </is>
      </c>
    </row>
    <row r="29">
      <c r="A29" s="5" t="n">
        <v>42490</v>
      </c>
      <c r="B29" t="n">
        <v>2173.573</v>
      </c>
      <c r="F29" t="inlineStr">
        <is>
          <t>Training</t>
        </is>
      </c>
    </row>
    <row r="30">
      <c r="A30" s="5" t="n">
        <v>42521</v>
      </c>
      <c r="B30" t="n">
        <v>1977.021</v>
      </c>
      <c r="F30" t="inlineStr">
        <is>
          <t>Training</t>
        </is>
      </c>
    </row>
    <row r="31">
      <c r="A31" s="5" t="n">
        <v>42551</v>
      </c>
      <c r="B31" t="n">
        <v>1755.231</v>
      </c>
      <c r="F31" t="inlineStr">
        <is>
          <t>Training</t>
        </is>
      </c>
    </row>
    <row r="32">
      <c r="A32" s="5" t="n">
        <v>42582</v>
      </c>
      <c r="B32" t="n">
        <v>1609.081</v>
      </c>
      <c r="F32" t="inlineStr">
        <is>
          <t>Training</t>
        </is>
      </c>
    </row>
    <row r="33">
      <c r="A33" s="5" t="n">
        <v>42613</v>
      </c>
      <c r="B33" t="n">
        <v>1700.055</v>
      </c>
      <c r="F33" t="inlineStr">
        <is>
          <t>Training</t>
        </is>
      </c>
    </row>
    <row r="34">
      <c r="A34" s="5" t="n">
        <v>42643</v>
      </c>
      <c r="B34" t="n">
        <v>2049.877</v>
      </c>
      <c r="F34" t="inlineStr">
        <is>
          <t>Training</t>
        </is>
      </c>
    </row>
    <row r="35">
      <c r="A35" s="5" t="n">
        <v>42674</v>
      </c>
      <c r="B35" t="n">
        <v>2710.141000000001</v>
      </c>
      <c r="F35" t="inlineStr">
        <is>
          <t>Training</t>
        </is>
      </c>
    </row>
    <row r="36">
      <c r="A36" s="5" t="n">
        <v>42704</v>
      </c>
      <c r="B36" t="n">
        <v>1962.766</v>
      </c>
      <c r="F36" t="inlineStr">
        <is>
          <t>Training</t>
        </is>
      </c>
    </row>
    <row r="37">
      <c r="A37" s="5" t="n">
        <v>42735</v>
      </c>
      <c r="B37" t="n">
        <v>2646.011</v>
      </c>
      <c r="F37" t="inlineStr">
        <is>
          <t>Training</t>
        </is>
      </c>
    </row>
    <row r="38">
      <c r="A38" s="5" t="n">
        <v>42766</v>
      </c>
      <c r="B38" t="n">
        <v>1</v>
      </c>
      <c r="F38" t="inlineStr">
        <is>
          <t>Training</t>
        </is>
      </c>
    </row>
    <row r="39">
      <c r="A39" s="5" t="n">
        <v>42794</v>
      </c>
      <c r="B39" t="n">
        <v>1165.157</v>
      </c>
      <c r="F39" t="inlineStr">
        <is>
          <t>Training</t>
        </is>
      </c>
    </row>
    <row r="40">
      <c r="A40" s="5" t="n">
        <v>42825</v>
      </c>
      <c r="B40" t="n">
        <v>1406.855</v>
      </c>
      <c r="F40" t="inlineStr">
        <is>
          <t>Training</t>
        </is>
      </c>
    </row>
    <row r="41">
      <c r="A41" s="5" t="n">
        <v>42855</v>
      </c>
      <c r="B41" t="n">
        <v>1369.925</v>
      </c>
      <c r="F41" t="inlineStr">
        <is>
          <t>Training</t>
        </is>
      </c>
    </row>
    <row r="42">
      <c r="A42" s="5" t="n">
        <v>42886</v>
      </c>
      <c r="B42" t="n">
        <v>1369.485</v>
      </c>
      <c r="F42" t="inlineStr">
        <is>
          <t>Training</t>
        </is>
      </c>
    </row>
    <row r="43">
      <c r="A43" s="5" t="n">
        <v>42916</v>
      </c>
      <c r="B43" t="n">
        <v>1326.936</v>
      </c>
      <c r="F43" t="inlineStr">
        <is>
          <t>Training</t>
        </is>
      </c>
    </row>
    <row r="44">
      <c r="A44" s="5" t="n">
        <v>42947</v>
      </c>
      <c r="B44" t="n">
        <v>1260.526</v>
      </c>
      <c r="F44" t="inlineStr">
        <is>
          <t>Training</t>
        </is>
      </c>
    </row>
    <row r="45">
      <c r="A45" s="5" t="n">
        <v>42978</v>
      </c>
      <c r="B45" t="n">
        <v>1302.42</v>
      </c>
      <c r="F45" t="inlineStr">
        <is>
          <t>Training</t>
        </is>
      </c>
    </row>
    <row r="46">
      <c r="A46" s="5" t="n">
        <v>43008</v>
      </c>
      <c r="B46" t="n">
        <v>1660.841</v>
      </c>
      <c r="F46" t="inlineStr">
        <is>
          <t>Training</t>
        </is>
      </c>
    </row>
    <row r="47">
      <c r="A47" s="5" t="n">
        <v>43039</v>
      </c>
      <c r="B47" t="n">
        <v>2050.127</v>
      </c>
      <c r="F47" t="inlineStr">
        <is>
          <t>Training</t>
        </is>
      </c>
    </row>
    <row r="48">
      <c r="A48" s="5" t="n">
        <v>43069</v>
      </c>
      <c r="B48" t="n">
        <v>1705.579</v>
      </c>
      <c r="F48" t="inlineStr">
        <is>
          <t>Training</t>
        </is>
      </c>
    </row>
    <row r="49">
      <c r="A49" s="5" t="n">
        <v>43100</v>
      </c>
      <c r="B49" t="n">
        <v>1887.103</v>
      </c>
      <c r="F49" t="inlineStr">
        <is>
          <t>Training</t>
        </is>
      </c>
    </row>
    <row r="50">
      <c r="A50" s="5" t="n">
        <v>43131</v>
      </c>
      <c r="B50" t="n">
        <v>1985.701</v>
      </c>
      <c r="F50" t="inlineStr">
        <is>
          <t>Training</t>
        </is>
      </c>
    </row>
    <row r="51">
      <c r="A51" s="5" t="n">
        <v>43159</v>
      </c>
      <c r="B51" t="n">
        <v>2203.248000000001</v>
      </c>
      <c r="F51" t="inlineStr">
        <is>
          <t>Training</t>
        </is>
      </c>
    </row>
    <row r="52">
      <c r="A52" s="5" t="n">
        <v>43190</v>
      </c>
      <c r="B52" t="n">
        <v>2156.847</v>
      </c>
      <c r="F52" t="inlineStr">
        <is>
          <t>Training</t>
        </is>
      </c>
    </row>
    <row r="53">
      <c r="A53" s="5" t="n">
        <v>43220</v>
      </c>
      <c r="B53" t="n">
        <v>1934.48</v>
      </c>
      <c r="F53" t="inlineStr">
        <is>
          <t>Training</t>
        </is>
      </c>
    </row>
    <row r="54">
      <c r="A54" s="5" t="n">
        <v>43251</v>
      </c>
      <c r="B54" t="n">
        <v>1675.13</v>
      </c>
      <c r="F54" t="inlineStr">
        <is>
          <t>Training</t>
        </is>
      </c>
    </row>
    <row r="55">
      <c r="A55" s="5" t="n">
        <v>43281</v>
      </c>
      <c r="B55" t="n">
        <v>1414.349</v>
      </c>
      <c r="F55" t="inlineStr">
        <is>
          <t>Training</t>
        </is>
      </c>
    </row>
    <row r="56">
      <c r="A56" s="5" t="n">
        <v>43312</v>
      </c>
      <c r="B56" t="n">
        <v>1563.479</v>
      </c>
      <c r="F56" t="inlineStr">
        <is>
          <t>Training</t>
        </is>
      </c>
    </row>
    <row r="57">
      <c r="A57" s="5" t="n">
        <v>43343</v>
      </c>
      <c r="B57" t="n">
        <v>1611.907</v>
      </c>
      <c r="F57" t="inlineStr">
        <is>
          <t>Training</t>
        </is>
      </c>
    </row>
    <row r="58">
      <c r="A58" s="5" t="n">
        <v>43373</v>
      </c>
      <c r="B58" t="n">
        <v>1981.374</v>
      </c>
      <c r="F58" t="inlineStr">
        <is>
          <t>Training</t>
        </is>
      </c>
    </row>
    <row r="59">
      <c r="A59" s="5" t="n">
        <v>43404</v>
      </c>
      <c r="B59" t="n">
        <v>2221.335</v>
      </c>
      <c r="F59" t="inlineStr">
        <is>
          <t>Training</t>
        </is>
      </c>
    </row>
    <row r="60">
      <c r="A60" s="5" t="n">
        <v>43434</v>
      </c>
      <c r="B60" t="n">
        <v>2008.677</v>
      </c>
      <c r="F60" t="inlineStr">
        <is>
          <t>Training</t>
        </is>
      </c>
    </row>
    <row r="61">
      <c r="A61" s="5" t="n">
        <v>43465</v>
      </c>
      <c r="B61" t="n">
        <v>2277.534</v>
      </c>
      <c r="F61" t="inlineStr">
        <is>
          <t>Training</t>
        </is>
      </c>
    </row>
    <row r="62">
      <c r="A62" s="5" t="n">
        <v>43496</v>
      </c>
      <c r="B62" t="n">
        <v>2907.863000000001</v>
      </c>
      <c r="C62">
        <f>FORECAST.ETS(A62, B$2:B$61, A$2:A$61, 1, 1)</f>
        <v/>
      </c>
      <c r="D62">
        <f>C62 - FORECAST.ETS.CONFINT(A62, B$2:B$61, A$2:A$61, 0.95, 1, 1)</f>
        <v/>
      </c>
      <c r="E62">
        <f>C62 + FORECAST.ETS.CONFINT(A62, B$2:B$61, A$2:A$61, 0.95, 1, 1)</f>
        <v/>
      </c>
      <c r="F62" t="inlineStr">
        <is>
          <t>Validation (Full Month)</t>
        </is>
      </c>
    </row>
    <row r="63">
      <c r="A63" s="5" t="n">
        <v>43524</v>
      </c>
      <c r="B63" t="n">
        <v>1944.197000000001</v>
      </c>
      <c r="C63">
        <f>FORECAST.ETS(A63, B$2:B$61, A$2:A$61, 1, 1)</f>
        <v/>
      </c>
      <c r="D63">
        <f>C63 - FORECAST.ETS.CONFINT(A63, B$2:B$61, A$2:A$61, 0.95, 1, 1)</f>
        <v/>
      </c>
      <c r="E63">
        <f>C63 + FORECAST.ETS.CONFINT(A63, B$2:B$61, A$2:A$61, 0.95, 1, 1)</f>
        <v/>
      </c>
      <c r="F63" t="inlineStr">
        <is>
          <t>Validation (Full Month)</t>
        </is>
      </c>
    </row>
    <row r="64">
      <c r="A64" s="5" t="n">
        <v>43555</v>
      </c>
      <c r="B64" t="n">
        <v>2038.938</v>
      </c>
      <c r="C64">
        <f>FORECAST.ETS(A64, B$2:B$61, A$2:A$61, 1, 1)</f>
        <v/>
      </c>
      <c r="D64">
        <f>C64 - FORECAST.ETS.CONFINT(A64, B$2:B$61, A$2:A$61, 0.95, 1, 1)</f>
        <v/>
      </c>
      <c r="E64">
        <f>C64 + FORECAST.ETS.CONFINT(A64, B$2:B$61, A$2:A$61, 0.95, 1, 1)</f>
        <v/>
      </c>
      <c r="F64" t="inlineStr">
        <is>
          <t>Validation (Full Month)</t>
        </is>
      </c>
    </row>
    <row r="65">
      <c r="A65" s="5" t="n">
        <v>43585</v>
      </c>
      <c r="B65" t="n">
        <v>1756.805</v>
      </c>
      <c r="C65">
        <f>FORECAST.ETS(A65, B$2:B$61, A$2:A$61, 1, 1)</f>
        <v/>
      </c>
      <c r="D65">
        <f>C65 - FORECAST.ETS.CONFINT(A65, B$2:B$61, A$2:A$61, 0.95, 1, 1)</f>
        <v/>
      </c>
      <c r="E65">
        <f>C65 + FORECAST.ETS.CONFINT(A65, B$2:B$61, A$2:A$61, 0.95, 1, 1)</f>
        <v/>
      </c>
      <c r="F65" t="inlineStr">
        <is>
          <t>Validation (Full Month)</t>
        </is>
      </c>
    </row>
    <row r="66">
      <c r="A66" s="5" t="n">
        <v>43616</v>
      </c>
      <c r="B66" t="n">
        <v>1822.16</v>
      </c>
      <c r="C66">
        <f>FORECAST.ETS(A66, B$2:B$61, A$2:A$61, 1, 1)</f>
        <v/>
      </c>
      <c r="D66">
        <f>C66 - FORECAST.ETS.CONFINT(A66, B$2:B$61, A$2:A$61, 0.95, 1, 1)</f>
        <v/>
      </c>
      <c r="E66">
        <f>C66 + FORECAST.ETS.CONFINT(A66, B$2:B$61, A$2:A$61, 0.95, 1, 1)</f>
        <v/>
      </c>
      <c r="F66" t="inlineStr">
        <is>
          <t>Validation (Full Month)</t>
        </is>
      </c>
    </row>
    <row r="67">
      <c r="A67" s="5" t="n">
        <v>43646</v>
      </c>
      <c r="B67" t="n">
        <v>1482.407</v>
      </c>
      <c r="C67">
        <f>FORECAST.ETS(A67, B$2:B$61, A$2:A$61, 1, 1)</f>
        <v/>
      </c>
      <c r="D67">
        <f>C67 - FORECAST.ETS.CONFINT(A67, B$2:B$61, A$2:A$61, 0.95, 1, 1)</f>
        <v/>
      </c>
      <c r="E67">
        <f>C67 + FORECAST.ETS.CONFINT(A67, B$2:B$61, A$2:A$61, 0.95, 1, 1)</f>
        <v/>
      </c>
      <c r="F67" t="inlineStr">
        <is>
          <t>Validation (Full Month)</t>
        </is>
      </c>
    </row>
    <row r="68">
      <c r="A68" s="5" t="n">
        <v>43677</v>
      </c>
      <c r="B68" t="n">
        <v>1517.941</v>
      </c>
      <c r="C68">
        <f>FORECAST.ETS(A68, B$2:B$61, A$2:A$61, 1, 1)</f>
        <v/>
      </c>
      <c r="D68">
        <f>C68 - FORECAST.ETS.CONFINT(A68, B$2:B$61, A$2:A$61, 0.95, 1, 1)</f>
        <v/>
      </c>
      <c r="E68">
        <f>C68 + FORECAST.ETS.CONFINT(A68, B$2:B$61, A$2:A$61, 0.95, 1, 1)</f>
        <v/>
      </c>
      <c r="F68" t="inlineStr">
        <is>
          <t>Validation (Full Month)</t>
        </is>
      </c>
    </row>
    <row r="69">
      <c r="A69" s="5" t="n">
        <v>43708</v>
      </c>
      <c r="B69" t="n">
        <v>1377.779</v>
      </c>
      <c r="C69">
        <f>FORECAST.ETS(A69, B$2:B$61, A$2:A$61, 1, 1)</f>
        <v/>
      </c>
      <c r="D69">
        <f>C69 - FORECAST.ETS.CONFINT(A69, B$2:B$61, A$2:A$61, 0.95, 1, 1)</f>
        <v/>
      </c>
      <c r="E69">
        <f>C69 + FORECAST.ETS.CONFINT(A69, B$2:B$61, A$2:A$61, 0.95, 1, 1)</f>
        <v/>
      </c>
      <c r="F69" t="inlineStr">
        <is>
          <t>Validation (Full Month)</t>
        </is>
      </c>
    </row>
    <row r="70">
      <c r="A70" s="5" t="n">
        <v>43738</v>
      </c>
      <c r="B70" t="n">
        <v>1864.387</v>
      </c>
      <c r="C70">
        <f>FORECAST.ETS(A70, B$2:B$61, A$2:A$61, 1, 1)</f>
        <v/>
      </c>
      <c r="D70">
        <f>C70 - FORECAST.ETS.CONFINT(A70, B$2:B$61, A$2:A$61, 0.95, 1, 1)</f>
        <v/>
      </c>
      <c r="E70">
        <f>C70 + FORECAST.ETS.CONFINT(A70, B$2:B$61, A$2:A$61, 0.95, 1, 1)</f>
        <v/>
      </c>
      <c r="F70" t="inlineStr">
        <is>
          <t>Validation (Full Month)</t>
        </is>
      </c>
    </row>
    <row r="71">
      <c r="A71" s="5" t="n">
        <v>43769</v>
      </c>
      <c r="B71" t="n">
        <v>538.6</v>
      </c>
      <c r="C71">
        <f>FORECAST.ETS(A71, B$2:B$70, A$2:A$70, 1, 1)</f>
        <v/>
      </c>
      <c r="D71">
        <f>C71 - FORECAST.ETS.CONFINT(A71, B$2:B$70, A$2:A$70, 0.95, 1, 1)</f>
        <v/>
      </c>
      <c r="E71">
        <f>C71 + FORECAST.ETS.CONFINT(A71, B$2:B$70, A$2:A$70, 0.95, 1, 1)</f>
        <v/>
      </c>
      <c r="F71" t="inlineStr">
        <is>
          <t>Validation (Partial)</t>
        </is>
      </c>
    </row>
    <row r="72">
      <c r="A72" s="5" t="n">
        <v>43799</v>
      </c>
      <c r="B72" t="inlineStr"/>
      <c r="C72">
        <f>FORECAST.ETS(A72, B$2:B$70, A$2:A$70, 1, 1)</f>
        <v/>
      </c>
      <c r="D72">
        <f>C72 - FORECAST.ETS.CONFINT(A72, B$2:B$70, A$2:A$70, 0.95, 1, 1)</f>
        <v/>
      </c>
      <c r="E72">
        <f>C72 + FORECAST.ETS.CONFINT(A72, B$2:B$70, A$2:A$70, 0.95, 1, 1)</f>
        <v/>
      </c>
      <c r="F72" t="inlineStr">
        <is>
          <t>Future Forecast</t>
        </is>
      </c>
    </row>
    <row r="73">
      <c r="A73" s="5" t="n">
        <v>43830</v>
      </c>
      <c r="B73" t="inlineStr"/>
      <c r="C73">
        <f>FORECAST.ETS(A73, B$2:B$70, A$2:A$70, 1, 1)</f>
        <v/>
      </c>
      <c r="D73">
        <f>C73 - FORECAST.ETS.CONFINT(A73, B$2:B$70, A$2:A$70, 0.95, 1, 1)</f>
        <v/>
      </c>
      <c r="E73">
        <f>C73 + FORECAST.ETS.CONFINT(A73, B$2:B$70, A$2:A$70, 0.95, 1, 1)</f>
        <v/>
      </c>
      <c r="F73" t="inlineStr">
        <is>
          <t>Future Forecast</t>
        </is>
      </c>
    </row>
    <row r="74">
      <c r="A74" s="5" t="n">
        <v>43861</v>
      </c>
      <c r="B74" t="inlineStr"/>
      <c r="C74">
        <f>FORECAST.ETS(A74, B$2:B$70, A$2:A$70, 1, 1)</f>
        <v/>
      </c>
      <c r="D74">
        <f>C74 - FORECAST.ETS.CONFINT(A74, B$2:B$70, A$2:A$70, 0.95, 1, 1)</f>
        <v/>
      </c>
      <c r="E74">
        <f>C74 + FORECAST.ETS.CONFINT(A74, B$2:B$70, A$2:A$70, 0.95, 1, 1)</f>
        <v/>
      </c>
      <c r="F74" t="inlineStr">
        <is>
          <t>Future Forecast</t>
        </is>
      </c>
    </row>
    <row r="75">
      <c r="A75" s="5" t="n">
        <v>43890</v>
      </c>
      <c r="B75" t="inlineStr"/>
      <c r="C75">
        <f>FORECAST.ETS(A75, B$2:B$70, A$2:A$70, 1, 1)</f>
        <v/>
      </c>
      <c r="D75">
        <f>C75 - FORECAST.ETS.CONFINT(A75, B$2:B$70, A$2:A$70, 0.95, 1, 1)</f>
        <v/>
      </c>
      <c r="E75">
        <f>C75 + FORECAST.ETS.CONFINT(A75, B$2:B$70, A$2:A$70, 0.95, 1, 1)</f>
        <v/>
      </c>
      <c r="F75" t="inlineStr">
        <is>
          <t>Future Forecast</t>
        </is>
      </c>
    </row>
    <row r="76">
      <c r="A76" s="5" t="n">
        <v>43921</v>
      </c>
      <c r="B76" t="inlineStr"/>
      <c r="C76">
        <f>FORECAST.ETS(A76, B$2:B$70, A$2:A$70, 1, 1)</f>
        <v/>
      </c>
      <c r="D76">
        <f>C76 - FORECAST.ETS.CONFINT(A76, B$2:B$70, A$2:A$70, 0.95, 1, 1)</f>
        <v/>
      </c>
      <c r="E76">
        <f>C76 + FORECAST.ETS.CONFINT(A76, B$2:B$70, A$2:A$70, 0.95, 1, 1)</f>
        <v/>
      </c>
      <c r="F76" t="inlineStr">
        <is>
          <t>Future Forecast</t>
        </is>
      </c>
    </row>
    <row r="77">
      <c r="A77" s="5" t="n">
        <v>43951</v>
      </c>
      <c r="B77" t="inlineStr"/>
      <c r="C77">
        <f>FORECAST.ETS(A77, B$2:B$70, A$2:A$70, 1, 1)</f>
        <v/>
      </c>
      <c r="D77">
        <f>C77 - FORECAST.ETS.CONFINT(A77, B$2:B$70, A$2:A$70, 0.95, 1, 1)</f>
        <v/>
      </c>
      <c r="E77">
        <f>C77 + FORECAST.ETS.CONFINT(A77, B$2:B$70, A$2:A$70, 0.95, 1, 1)</f>
        <v/>
      </c>
      <c r="F77" t="inlineStr">
        <is>
          <t>Future Forecast</t>
        </is>
      </c>
    </row>
    <row r="78">
      <c r="A78" s="5" t="n">
        <v>43982</v>
      </c>
      <c r="B78" t="inlineStr"/>
      <c r="C78">
        <f>FORECAST.ETS(A78, B$2:B$70, A$2:A$70, 1, 1)</f>
        <v/>
      </c>
      <c r="D78">
        <f>C78 - FORECAST.ETS.CONFINT(A78, B$2:B$70, A$2:A$70, 0.95, 1, 1)</f>
        <v/>
      </c>
      <c r="E78">
        <f>C78 + FORECAST.ETS.CONFINT(A78, B$2:B$70, A$2:A$70, 0.95, 1, 1)</f>
        <v/>
      </c>
      <c r="F78" t="inlineStr">
        <is>
          <t>Future Forecast</t>
        </is>
      </c>
    </row>
    <row r="79">
      <c r="A79" s="5" t="n">
        <v>44012</v>
      </c>
      <c r="B79" t="inlineStr"/>
      <c r="C79">
        <f>FORECAST.ETS(A79, B$2:B$70, A$2:A$70, 1, 1)</f>
        <v/>
      </c>
      <c r="D79">
        <f>C79 - FORECAST.ETS.CONFINT(A79, B$2:B$70, A$2:A$70, 0.95, 1, 1)</f>
        <v/>
      </c>
      <c r="E79">
        <f>C79 + FORECAST.ETS.CONFINT(A79, B$2:B$70, A$2:A$70, 0.95, 1, 1)</f>
        <v/>
      </c>
      <c r="F79" t="inlineStr">
        <is>
          <t>Future Forecast</t>
        </is>
      </c>
    </row>
    <row r="80">
      <c r="A80" s="5" t="n">
        <v>44043</v>
      </c>
      <c r="B80" t="inlineStr"/>
      <c r="C80">
        <f>FORECAST.ETS(A80, B$2:B$70, A$2:A$70, 1, 1)</f>
        <v/>
      </c>
      <c r="D80">
        <f>C80 - FORECAST.ETS.CONFINT(A80, B$2:B$70, A$2:A$70, 0.95, 1, 1)</f>
        <v/>
      </c>
      <c r="E80">
        <f>C80 + FORECAST.ETS.CONFINT(A80, B$2:B$70, A$2:A$70, 0.95, 1, 1)</f>
        <v/>
      </c>
      <c r="F80" t="inlineStr">
        <is>
          <t>Future Forecast</t>
        </is>
      </c>
    </row>
    <row r="81">
      <c r="A81" s="5" t="n">
        <v>44074</v>
      </c>
      <c r="B81" t="inlineStr"/>
      <c r="C81">
        <f>FORECAST.ETS(A81, B$2:B$70, A$2:A$70, 1, 1)</f>
        <v/>
      </c>
      <c r="D81">
        <f>C81 - FORECAST.ETS.CONFINT(A81, B$2:B$70, A$2:A$70, 0.95, 1, 1)</f>
        <v/>
      </c>
      <c r="E81">
        <f>C81 + FORECAST.ETS.CONFINT(A81, B$2:B$70, A$2:A$70, 0.95, 1, 1)</f>
        <v/>
      </c>
      <c r="F81" t="inlineStr">
        <is>
          <t>Future Forecast</t>
        </is>
      </c>
    </row>
    <row r="82">
      <c r="A82" s="5" t="n">
        <v>44104</v>
      </c>
      <c r="B82" t="inlineStr"/>
      <c r="C82">
        <f>FORECAST.ETS(A82, B$2:B$70, A$2:A$70, 1, 1)</f>
        <v/>
      </c>
      <c r="D82">
        <f>C82 - FORECAST.ETS.CONFINT(A82, B$2:B$70, A$2:A$70, 0.95, 1, 1)</f>
        <v/>
      </c>
      <c r="E82">
        <f>C82 + FORECAST.ETS.CONFINT(A82, B$2:B$70, A$2:A$70, 0.95, 1, 1)</f>
        <v/>
      </c>
      <c r="F82" t="inlineStr">
        <is>
          <t>Future Forecast</t>
        </is>
      </c>
    </row>
    <row r="83">
      <c r="A83" s="5" t="n">
        <v>44135</v>
      </c>
      <c r="B83" t="inlineStr"/>
      <c r="C83">
        <f>FORECAST.ETS(A83, B$2:B$70, A$2:A$70, 1, 1)</f>
        <v/>
      </c>
      <c r="D83">
        <f>C83 - FORECAST.ETS.CONFINT(A83, B$2:B$70, A$2:A$70, 0.95, 1, 1)</f>
        <v/>
      </c>
      <c r="E83">
        <f>C83 + FORECAST.ETS.CONFINT(A83, B$2:B$70, A$2:A$70, 0.95, 1, 1)</f>
        <v/>
      </c>
      <c r="F83" t="inlineStr">
        <is>
          <t>Future Forecast</t>
        </is>
      </c>
    </row>
    <row r="84">
      <c r="A84" s="5" t="n">
        <v>44165</v>
      </c>
      <c r="B84" t="inlineStr"/>
      <c r="C84">
        <f>FORECAST.ETS(A84, B$2:B$70, A$2:A$70, 1, 1)</f>
        <v/>
      </c>
      <c r="D84">
        <f>C84 - FORECAST.ETS.CONFINT(A84, B$2:B$70, A$2:A$70, 0.95, 1, 1)</f>
        <v/>
      </c>
      <c r="E84">
        <f>C84 + FORECAST.ETS.CONFINT(A84, B$2:B$70, A$2:A$70, 0.95, 1, 1)</f>
        <v/>
      </c>
      <c r="F84" t="inlineStr">
        <is>
          <t>Future Forecast</t>
        </is>
      </c>
    </row>
    <row r="85">
      <c r="A85" s="5" t="n">
        <v>44196</v>
      </c>
      <c r="B85" t="inlineStr"/>
      <c r="C85">
        <f>FORECAST.ETS(A85, B$2:B$70, A$2:A$70, 1, 1)</f>
        <v/>
      </c>
      <c r="D85">
        <f>C85 - FORECAST.ETS.CONFINT(A85, B$2:B$70, A$2:A$70, 0.95, 1, 1)</f>
        <v/>
      </c>
      <c r="E85">
        <f>C85 + FORECAST.ETS.CONFINT(A85, B$2:B$70, A$2:A$70, 0.95, 1, 1)</f>
        <v/>
      </c>
      <c r="F85" t="inlineStr">
        <is>
          <t>Future Forecast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3" customWidth="1" min="1" max="1"/>
    <col width="33" customWidth="1" min="2" max="2"/>
    <col width="40" customWidth="1" min="3" max="3"/>
    <col width="34" customWidth="1" min="4" max="4"/>
    <col width="21" customWidth="1" min="5" max="5"/>
  </cols>
  <sheetData>
    <row r="1">
      <c r="A1" s="3" t="inlineStr">
        <is>
          <t>Metric</t>
        </is>
      </c>
      <c r="B1" s="3" t="inlineStr">
        <is>
          <t>Validation Period</t>
        </is>
      </c>
      <c r="C1" s="3" t="inlineStr">
        <is>
          <t>Value</t>
        </is>
      </c>
      <c r="D1" s="3" t="inlineStr">
        <is>
          <t>Formula/Logic</t>
        </is>
      </c>
    </row>
    <row r="2">
      <c r="A2" t="inlineStr">
        <is>
          <t>Validation Scope</t>
        </is>
      </c>
      <c r="B2" t="inlineStr">
        <is>
          <t>Jan 2019 - Sep 2019 (9 months)</t>
        </is>
      </c>
      <c r="C2" t="inlineStr"/>
      <c r="D2" t="inlineStr">
        <is>
          <t>Filtered out Oct 2019 (partial)</t>
        </is>
      </c>
    </row>
    <row r="3">
      <c r="A3" t="inlineStr">
        <is>
          <t>MAE (Mean Absolute Error)</t>
        </is>
      </c>
      <c r="B3" t="inlineStr"/>
      <c r="C3">
        <f>AVERAGE(ABS(C3-B3), ABS(C4-B4), ABS(C5-B5), ABS(C6-B6), ABS(C7-B7), ABS(C8-B8), ABS(C9-B9), ABS(C10-B10), ABS(C11-B11))</f>
        <v/>
      </c>
      <c r="D3" t="inlineStr">
        <is>
          <t>Calculated on Jan-Sep 2019</t>
        </is>
      </c>
    </row>
    <row r="4">
      <c r="A4" t="inlineStr">
        <is>
          <t>MAPE (Mean Absolute Pct Error)</t>
        </is>
      </c>
      <c r="B4" t="inlineStr"/>
      <c r="C4">
        <f>AVERAGE(ABS((C3-B3)/B3), ABS((C4-B4)/B4), ABS((C5-B5)/B5), ABS((C6-B6)/B6), ABS((C7-B7)/B7), ABS((C8-B8)/B8), ABS((C9-B9)/B9), ABS((C10-B10)/B10), ABS((C11-B11)/B11))</f>
        <v/>
      </c>
      <c r="D4" t="inlineStr">
        <is>
          <t>Calculated on Jan-Sep 2019</t>
        </is>
      </c>
    </row>
    <row r="5"/>
    <row r="6">
      <c r="A6" s="3" t="inlineStr">
        <is>
          <t>Date</t>
        </is>
      </c>
      <c r="B6" s="3" t="inlineStr">
        <is>
          <t>Actual_Sales</t>
        </is>
      </c>
      <c r="C6" s="3" t="inlineStr">
        <is>
          <t>Forecast_Sales</t>
        </is>
      </c>
      <c r="D6" s="3" t="inlineStr">
        <is>
          <t>Absolute_Error</t>
        </is>
      </c>
      <c r="E6" s="3" t="inlineStr">
        <is>
          <t>Absolute_Pct_Error</t>
        </is>
      </c>
    </row>
    <row r="7">
      <c r="A7">
        <f>'4_Forecast_Model'!A62</f>
        <v/>
      </c>
      <c r="B7">
        <f>'4_Forecast_Model'!B62</f>
        <v/>
      </c>
      <c r="C7">
        <f>'4_Forecast_Model'!C62</f>
        <v/>
      </c>
      <c r="D7">
        <f>ABS(C7-B7)</f>
        <v/>
      </c>
      <c r="E7">
        <f>D7/B7</f>
        <v/>
      </c>
    </row>
    <row r="8">
      <c r="A8">
        <f>'4_Forecast_Model'!A63</f>
        <v/>
      </c>
      <c r="B8">
        <f>'4_Forecast_Model'!B63</f>
        <v/>
      </c>
      <c r="C8">
        <f>'4_Forecast_Model'!C63</f>
        <v/>
      </c>
      <c r="D8">
        <f>ABS(C8-B8)</f>
        <v/>
      </c>
      <c r="E8">
        <f>D8/B8</f>
        <v/>
      </c>
    </row>
    <row r="9">
      <c r="A9">
        <f>'4_Forecast_Model'!A64</f>
        <v/>
      </c>
      <c r="B9">
        <f>'4_Forecast_Model'!B64</f>
        <v/>
      </c>
      <c r="C9">
        <f>'4_Forecast_Model'!C64</f>
        <v/>
      </c>
      <c r="D9">
        <f>ABS(C9-B9)</f>
        <v/>
      </c>
      <c r="E9">
        <f>D9/B9</f>
        <v/>
      </c>
    </row>
    <row r="10">
      <c r="A10">
        <f>'4_Forecast_Model'!A65</f>
        <v/>
      </c>
      <c r="B10">
        <f>'4_Forecast_Model'!B65</f>
        <v/>
      </c>
      <c r="C10">
        <f>'4_Forecast_Model'!C65</f>
        <v/>
      </c>
      <c r="D10">
        <f>ABS(C10-B10)</f>
        <v/>
      </c>
      <c r="E10">
        <f>D10/B10</f>
        <v/>
      </c>
    </row>
    <row r="11">
      <c r="A11">
        <f>'4_Forecast_Model'!A66</f>
        <v/>
      </c>
      <c r="B11">
        <f>'4_Forecast_Model'!B66</f>
        <v/>
      </c>
      <c r="C11">
        <f>'4_Forecast_Model'!C66</f>
        <v/>
      </c>
      <c r="D11">
        <f>ABS(C11-B11)</f>
        <v/>
      </c>
      <c r="E11">
        <f>D11/B11</f>
        <v/>
      </c>
    </row>
    <row r="12">
      <c r="A12">
        <f>'4_Forecast_Model'!A67</f>
        <v/>
      </c>
      <c r="B12">
        <f>'4_Forecast_Model'!B67</f>
        <v/>
      </c>
      <c r="C12">
        <f>'4_Forecast_Model'!C67</f>
        <v/>
      </c>
      <c r="D12">
        <f>ABS(C12-B12)</f>
        <v/>
      </c>
      <c r="E12">
        <f>D12/B12</f>
        <v/>
      </c>
    </row>
    <row r="13">
      <c r="A13">
        <f>'4_Forecast_Model'!A68</f>
        <v/>
      </c>
      <c r="B13">
        <f>'4_Forecast_Model'!B68</f>
        <v/>
      </c>
      <c r="C13">
        <f>'4_Forecast_Model'!C68</f>
        <v/>
      </c>
      <c r="D13">
        <f>ABS(C13-B13)</f>
        <v/>
      </c>
      <c r="E13">
        <f>D13/B13</f>
        <v/>
      </c>
    </row>
    <row r="14">
      <c r="A14">
        <f>'4_Forecast_Model'!A69</f>
        <v/>
      </c>
      <c r="B14">
        <f>'4_Forecast_Model'!B69</f>
        <v/>
      </c>
      <c r="C14">
        <f>'4_Forecast_Model'!C69</f>
        <v/>
      </c>
      <c r="D14">
        <f>ABS(C14-B14)</f>
        <v/>
      </c>
      <c r="E14">
        <f>D14/B14</f>
        <v/>
      </c>
    </row>
    <row r="15">
      <c r="A15">
        <f>'4_Forecast_Model'!A70</f>
        <v/>
      </c>
      <c r="B15">
        <f>'4_Forecast_Model'!B70</f>
        <v/>
      </c>
      <c r="C15">
        <f>'4_Forecast_Model'!C70</f>
        <v/>
      </c>
      <c r="D15">
        <f>ABS(C15-B15)</f>
        <v/>
      </c>
      <c r="E15">
        <f>D15/B15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2026-09-28T10:10:56Z</dcterms:created>
  <dcterms:modified xsi:type="dcterms:W3CDTF">2026-09-28T10:10:56Z</dcterms:modified>
</cp:coreProperties>
</file>