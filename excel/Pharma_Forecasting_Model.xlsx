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72982c1322fbe15/Desktop/Pharma Sales Analysis/excel/"/>
    </mc:Choice>
  </mc:AlternateContent>
  <xr:revisionPtr revIDLastSave="2" documentId="13_ncr:1_{99432CE7-3C63-46BA-8192-5FA0A621BBCB}" xr6:coauthVersionLast="47" xr6:coauthVersionMax="47" xr10:uidLastSave="{EAE79C49-E1D4-4772-8DF5-9A3FC5FC6114}"/>
  <bookViews>
    <workbookView xWindow="-108" yWindow="-108" windowWidth="23256" windowHeight="12456" activeTab="4" xr2:uid="{00000000-000D-0000-FFFF-FFFF00000000}"/>
  </bookViews>
  <sheets>
    <sheet name="1_Executive_Summary" sheetId="1" r:id="rId1"/>
    <sheet name="2_Data_Input" sheetId="2" r:id="rId2"/>
    <sheet name="3_Category_Input" sheetId="3" r:id="rId3"/>
    <sheet name="4_Forecast_Model" sheetId="4" r:id="rId4"/>
    <sheet name="5_Accuracy_Tes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5" l="1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C81" i="4"/>
  <c r="C77" i="4"/>
  <c r="C73" i="4"/>
  <c r="C65" i="4"/>
  <c r="C72" i="4"/>
  <c r="C68" i="4"/>
  <c r="C64" i="4"/>
  <c r="C69" i="4"/>
  <c r="C85" i="4"/>
  <c r="C80" i="4"/>
  <c r="C76" i="4"/>
  <c r="C84" i="4"/>
  <c r="C63" i="4"/>
  <c r="C70" i="4"/>
  <c r="C62" i="4"/>
  <c r="C83" i="4"/>
  <c r="C79" i="4"/>
  <c r="C75" i="4"/>
  <c r="C71" i="4"/>
  <c r="C67" i="4"/>
  <c r="C78" i="4"/>
  <c r="C82" i="4"/>
  <c r="C74" i="4"/>
  <c r="C66" i="4"/>
  <c r="C12" i="5" l="1"/>
  <c r="D12" i="5" s="1"/>
  <c r="E12" i="5" s="1"/>
  <c r="C7" i="5"/>
  <c r="D7" i="5" s="1"/>
  <c r="E7" i="5" s="1"/>
  <c r="C15" i="5"/>
  <c r="D15" i="5" s="1"/>
  <c r="E15" i="5" s="1"/>
  <c r="C8" i="5"/>
  <c r="D8" i="5" s="1"/>
  <c r="E8" i="5" s="1"/>
  <c r="C13" i="5"/>
  <c r="D13" i="5" s="1"/>
  <c r="E13" i="5" s="1"/>
  <c r="C11" i="5"/>
  <c r="D11" i="5" s="1"/>
  <c r="E11" i="5" s="1"/>
  <c r="C9" i="5"/>
  <c r="D9" i="5" s="1"/>
  <c r="E9" i="5" s="1"/>
  <c r="C14" i="5"/>
  <c r="D14" i="5" s="1"/>
  <c r="E14" i="5" s="1"/>
  <c r="C10" i="5"/>
  <c r="D10" i="5" s="1"/>
  <c r="E10" i="5" s="1"/>
  <c r="E66" i="4"/>
  <c r="D71" i="4"/>
  <c r="D70" i="4"/>
  <c r="E69" i="4"/>
  <c r="D73" i="4"/>
  <c r="E75" i="4"/>
  <c r="D69" i="4"/>
  <c r="E77" i="4"/>
  <c r="D75" i="4"/>
  <c r="D63" i="4"/>
  <c r="E79" i="4"/>
  <c r="E81" i="4"/>
  <c r="D79" i="4"/>
  <c r="E68" i="4"/>
  <c r="D82" i="4"/>
  <c r="D68" i="4"/>
  <c r="D83" i="4"/>
  <c r="D66" i="4"/>
  <c r="E63" i="4"/>
  <c r="E64" i="4"/>
  <c r="D64" i="4"/>
  <c r="E82" i="4"/>
  <c r="E83" i="4"/>
  <c r="E76" i="4"/>
  <c r="E62" i="4"/>
  <c r="D76" i="4"/>
  <c r="E72" i="4"/>
  <c r="E74" i="4"/>
  <c r="D77" i="4"/>
  <c r="D81" i="4"/>
  <c r="D84" i="4"/>
  <c r="D74" i="4"/>
  <c r="E84" i="4"/>
  <c r="E78" i="4"/>
  <c r="D78" i="4"/>
  <c r="D62" i="4"/>
  <c r="E80" i="4"/>
  <c r="D72" i="4"/>
  <c r="E67" i="4"/>
  <c r="D67" i="4"/>
  <c r="E65" i="4"/>
  <c r="E85" i="4"/>
  <c r="E71" i="4"/>
  <c r="E70" i="4"/>
  <c r="E73" i="4"/>
  <c r="D65" i="4"/>
  <c r="D80" i="4"/>
  <c r="D85" i="4"/>
</calcChain>
</file>

<file path=xl/sharedStrings.xml><?xml version="1.0" encoding="utf-8"?>
<sst xmlns="http://schemas.openxmlformats.org/spreadsheetml/2006/main" count="221" uniqueCount="137">
  <si>
    <t>Pharma Sales Analysis &amp; Forecasting Model</t>
  </si>
  <si>
    <t>Dataset Overview:</t>
  </si>
  <si>
    <t>Source: Kaggle Pharma Sales Data (2014-2019)</t>
  </si>
  <si>
    <t>Primary File: salesmonthly.csv</t>
  </si>
  <si>
    <t>Training Period: Jan 2014 - Dec 2018 (60 months)</t>
  </si>
  <si>
    <t>Validation Period: Jan 2019 - Sep 2019 (9 months)</t>
  </si>
  <si>
    <t>Note: Oct 2019 excluded from validation as it is a partial month.</t>
  </si>
  <si>
    <t>Key Findings &amp; Limitations:</t>
  </si>
  <si>
    <t>1. Jan 2017 shows anomalous near-zero sales in the raw data.</t>
  </si>
  <si>
    <t>2. A sensitivity check showed a modest change in forecast error when the January 2017 anomaly was excluded.</t>
  </si>
  <si>
    <t>3. The original data is retained; no synthetic imputation was performed.</t>
  </si>
  <si>
    <t>Business KPIs:</t>
  </si>
  <si>
    <t>Total Sales Quantity (2014-2019)</t>
  </si>
  <si>
    <t>126,585.8</t>
  </si>
  <si>
    <t>Average Monthly Sales (all cats)</t>
  </si>
  <si>
    <t>1,808.4</t>
  </si>
  <si>
    <t>Highest-Selling Category</t>
  </si>
  <si>
    <t>N02BE (62,477.9 units)</t>
  </si>
  <si>
    <t>Category Contribution (top)</t>
  </si>
  <si>
    <t>49.4%</t>
  </si>
  <si>
    <t>Highest-Sales Month</t>
  </si>
  <si>
    <t>2014-10  (3,146.9)</t>
  </si>
  <si>
    <t>YoY Growth 2017-&gt;2018 (full years)</t>
  </si>
  <si>
    <t>+39.6%</t>
  </si>
  <si>
    <t>Date</t>
  </si>
  <si>
    <t>Year_Month</t>
  </si>
  <si>
    <t>Year</t>
  </si>
  <si>
    <t>Month</t>
  </si>
  <si>
    <t>Total_Sales</t>
  </si>
  <si>
    <t>MoM_Change</t>
  </si>
  <si>
    <t>MoM_Growth_Pct</t>
  </si>
  <si>
    <t>MA3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</si>
  <si>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</si>
  <si>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</si>
  <si>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</si>
  <si>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</si>
  <si>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</si>
  <si>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</si>
  <si>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</si>
  <si>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</si>
  <si>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</si>
  <si>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</si>
  <si>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</si>
  <si>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</si>
  <si>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</si>
  <si>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</si>
  <si>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</si>
  <si>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</si>
  <si>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</si>
  <si>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</si>
  <si>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</si>
  <si>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</si>
  <si>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</si>
  <si>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</si>
  <si>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</si>
  <si>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</si>
  <si>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</si>
  <si>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</si>
  <si>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</si>
  <si>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</si>
  <si>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</si>
  <si>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</si>
  <si>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</si>
  <si>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</si>
  <si>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</si>
  <si>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</si>
  <si>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</si>
  <si>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</si>
  <si>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</si>
  <si>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</si>
  <si>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</si>
  <si>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</si>
  <si>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</si>
  <si>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</si>
  <si>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</si>
  <si>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</si>
  <si>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</si>
  <si>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</si>
  <si>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</si>
  <si>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</si>
  <si>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</si>
  <si>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</si>
  <si>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</si>
  <si>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</si>
  <si>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</si>
  <si>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</si>
  <si>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</si>
  <si>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</si>
  <si>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</si>
  <si>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</si>
  <si>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</si>
  <si>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</si>
  <si>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</si>
  <si>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</si>
  <si>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</si>
  <si>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</si>
  <si>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</si>
  <si>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</si>
  <si>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</si>
  <si>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</si>
  <si>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</si>
  <si>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</si>
  <si>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Rank</t>
  </si>
  <si>
    <t>Category</t>
  </si>
  <si>
    <t>Total</t>
  </si>
  <si>
    <t>Avg_Monthly</t>
  </si>
  <si>
    <t>Contribution_Pct</t>
  </si>
  <si>
    <t>N02BE</t>
  </si>
  <si>
    <t>N05B</t>
  </si>
  <si>
    <t>R03</t>
  </si>
  <si>
    <t>M01AB</t>
  </si>
  <si>
    <t>M01AE</t>
  </si>
  <si>
    <t>N02BA</t>
  </si>
  <si>
    <t>R06</t>
  </si>
  <si>
    <t>N05C</t>
  </si>
  <si>
    <t>Actual_Sales</t>
  </si>
  <si>
    <t>Lower_Bound</t>
  </si>
  <si>
    <t>Upper_Bound</t>
  </si>
  <si>
    <t>Status</t>
  </si>
  <si>
    <t>Training</t>
  </si>
  <si>
    <t>Validation (Full Month)</t>
  </si>
  <si>
    <t>Validation (Partial)</t>
  </si>
  <si>
    <t>Metric</t>
  </si>
  <si>
    <t>Validation Period</t>
  </si>
  <si>
    <t>Value</t>
  </si>
  <si>
    <t>Formula/Logic</t>
  </si>
  <si>
    <t>Validation Scope</t>
  </si>
  <si>
    <t>Jan 2019 - Sep 2019 (9 months)</t>
  </si>
  <si>
    <t>Filtered out Oct 2019 (partial)</t>
  </si>
  <si>
    <t>MAE (Mean Absolute Error)</t>
  </si>
  <si>
    <t>Calculated on Jan-Sep 2019</t>
  </si>
  <si>
    <t>MAPE (Mean Absolute Pct Error)</t>
  </si>
  <si>
    <t>Forecast_Sales</t>
  </si>
  <si>
    <t>Absolute_Error</t>
  </si>
  <si>
    <t>Absolute_Pct_Error</t>
  </si>
  <si>
    <t>FORECAST_ETS</t>
  </si>
  <si>
    <t>Future 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</si>
</sst>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:mm:ss"/>
    <numFmt numFmtId="165" formatCode="yyyy\-mm\-dd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3748"/>
        <bgColor rgb="FF2D37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opLeftCell="A3" workbookViewId="0">
      <selection sqref="A1:D1"/>
    </sheetView>
  </sheetViews>
  <sheetFormatPr defaultRowHeight="14.4" x14ac:dyDescent="0.3"/>
  <cols>
    <col min="1" max="1" width="40" customWidth="1"/>
    <col min="2" max="2" width="25" customWidth="1"/>
    <col min="3" max="4" width="3" customWidth="1"/>
  </cols>
  <sheetData>
    <row r="1" spans="1:4" ht="21" x14ac:dyDescent="0.4">
      <c r="A1" s="5" t="s">
        <v>0</v>
      </c>
      <c r="B1" s="6"/>
      <c r="C1" s="6"/>
      <c r="D1" s="6"/>
    </row>
    <row r="3" spans="1:4" x14ac:dyDescent="0.3">
      <c r="A3" s="1" t="s">
        <v>1</v>
      </c>
    </row>
    <row r="4" spans="1:4" x14ac:dyDescent="0.3">
      <c r="A4" t="s">
        <v>2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</row>
    <row r="8" spans="1:4" x14ac:dyDescent="0.3">
      <c r="A8" t="s">
        <v>6</v>
      </c>
    </row>
    <row r="10" spans="1:4" x14ac:dyDescent="0.3">
      <c r="A10" s="1" t="s">
        <v>7</v>
      </c>
    </row>
    <row r="11" spans="1:4" x14ac:dyDescent="0.3">
      <c r="A11" t="s">
        <v>8</v>
      </c>
    </row>
    <row r="12" spans="1:4" x14ac:dyDescent="0.3">
      <c r="A12" t="s">
        <v>9</v>
      </c>
    </row>
    <row r="13" spans="1:4" x14ac:dyDescent="0.3">
      <c r="A13" t="s">
        <v>10</v>
      </c>
    </row>
    <row r="15" spans="1:4" x14ac:dyDescent="0.3">
      <c r="A15" s="1" t="s">
        <v>11</v>
      </c>
    </row>
    <row r="16" spans="1:4" x14ac:dyDescent="0.3">
      <c r="A16" t="s">
        <v>12</v>
      </c>
      <c r="B16" t="s">
        <v>13</v>
      </c>
    </row>
    <row r="17" spans="1:2" x14ac:dyDescent="0.3">
      <c r="A17" t="s">
        <v>14</v>
      </c>
      <c r="B17" t="s">
        <v>15</v>
      </c>
    </row>
    <row r="18" spans="1:2" x14ac:dyDescent="0.3">
      <c r="A18" t="s">
        <v>16</v>
      </c>
      <c r="B18" t="s">
        <v>17</v>
      </c>
    </row>
    <row r="19" spans="1:2" x14ac:dyDescent="0.3">
      <c r="A19" t="s">
        <v>18</v>
      </c>
      <c r="B19" t="s">
        <v>19</v>
      </c>
    </row>
    <row r="20" spans="1:2" x14ac:dyDescent="0.3">
      <c r="A20" t="s">
        <v>20</v>
      </c>
      <c r="B20" t="s">
        <v>21</v>
      </c>
    </row>
    <row r="21" spans="1:2" x14ac:dyDescent="0.3">
      <c r="A21" t="s">
        <v>22</v>
      </c>
      <c r="B21" t="s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"/>
  <sheetViews>
    <sheetView workbookViewId="0"/>
  </sheetViews>
  <sheetFormatPr defaultRowHeight="14.4" x14ac:dyDescent="0.3"/>
  <cols>
    <col min="1" max="1" width="22" customWidth="1"/>
    <col min="2" max="2" width="13" customWidth="1"/>
    <col min="3" max="3" width="7" customWidth="1"/>
    <col min="4" max="4" width="8" customWidth="1"/>
    <col min="5" max="5" width="21" customWidth="1"/>
    <col min="6" max="7" width="22" customWidth="1"/>
    <col min="8" max="8" width="21" customWidth="1"/>
  </cols>
  <sheetData>
    <row r="1" spans="1:8" x14ac:dyDescent="0.3">
      <c r="A1" s="2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  <c r="G1" s="2" t="s">
        <v>30</v>
      </c>
      <c r="H1" s="2" t="s">
        <v>31</v>
      </c>
    </row>
    <row r="2" spans="1:8" x14ac:dyDescent="0.3">
      <c r="A2" s="3">
        <v>41670</v>
      </c>
      <c r="B2" t="s">
        <v>32</v>
      </c>
      <c r="C2">
        <v>2014</v>
      </c>
      <c r="D2">
        <v>1</v>
      </c>
      <c r="E2">
        <v>1821.11</v>
      </c>
      <c r="H2">
        <v>1821.11</v>
      </c>
    </row>
    <row r="3" spans="1:8" x14ac:dyDescent="0.3">
      <c r="A3" s="3">
        <v>41698</v>
      </c>
      <c r="B3" t="s">
        <v>33</v>
      </c>
      <c r="C3">
        <v>2014</v>
      </c>
      <c r="D3">
        <v>2</v>
      </c>
      <c r="E3">
        <v>1974.47</v>
      </c>
      <c r="F3">
        <v>153.3599999999999</v>
      </c>
      <c r="G3">
        <v>8.421237596850272</v>
      </c>
      <c r="H3">
        <v>1897.79</v>
      </c>
    </row>
    <row r="4" spans="1:8" x14ac:dyDescent="0.3">
      <c r="A4" s="3">
        <v>41729</v>
      </c>
      <c r="B4" t="s">
        <v>34</v>
      </c>
      <c r="C4">
        <v>2014</v>
      </c>
      <c r="D4">
        <v>3</v>
      </c>
      <c r="E4">
        <v>1606.72</v>
      </c>
      <c r="F4">
        <v>-367.75</v>
      </c>
      <c r="G4">
        <v>-18.62525133326918</v>
      </c>
      <c r="H4">
        <v>1800.7666666666671</v>
      </c>
    </row>
    <row r="5" spans="1:8" x14ac:dyDescent="0.3">
      <c r="A5" s="3">
        <v>41759</v>
      </c>
      <c r="B5" t="s">
        <v>35</v>
      </c>
      <c r="C5">
        <v>2014</v>
      </c>
      <c r="D5">
        <v>4</v>
      </c>
      <c r="E5">
        <v>1429.675</v>
      </c>
      <c r="F5">
        <v>-177.04499999999979</v>
      </c>
      <c r="G5">
        <v>-11.019032563234409</v>
      </c>
      <c r="H5">
        <v>1670.288333333333</v>
      </c>
    </row>
    <row r="6" spans="1:8" x14ac:dyDescent="0.3">
      <c r="A6" s="3">
        <v>41790</v>
      </c>
      <c r="B6" t="s">
        <v>36</v>
      </c>
      <c r="C6">
        <v>2014</v>
      </c>
      <c r="D6">
        <v>5</v>
      </c>
      <c r="E6">
        <v>1506.3030000000001</v>
      </c>
      <c r="F6">
        <v>76.627999999999929</v>
      </c>
      <c r="G6">
        <v>5.3598195394058079</v>
      </c>
      <c r="H6">
        <v>1514.232666666667</v>
      </c>
    </row>
    <row r="7" spans="1:8" x14ac:dyDescent="0.3">
      <c r="A7" s="3">
        <v>41820</v>
      </c>
      <c r="B7" t="s">
        <v>37</v>
      </c>
      <c r="C7">
        <v>2014</v>
      </c>
      <c r="D7">
        <v>6</v>
      </c>
      <c r="E7">
        <v>1390.2049999999999</v>
      </c>
      <c r="F7">
        <v>-116.098</v>
      </c>
      <c r="G7">
        <v>-7.7074798363941373</v>
      </c>
      <c r="H7">
        <v>1442.0609999999999</v>
      </c>
    </row>
    <row r="8" spans="1:8" x14ac:dyDescent="0.3">
      <c r="A8" s="3">
        <v>41851</v>
      </c>
      <c r="B8" t="s">
        <v>38</v>
      </c>
      <c r="C8">
        <v>2014</v>
      </c>
      <c r="D8">
        <v>7</v>
      </c>
      <c r="E8">
        <v>1332.37</v>
      </c>
      <c r="F8">
        <v>-57.835000000000043</v>
      </c>
      <c r="G8">
        <v>-4.1601778155020313</v>
      </c>
      <c r="H8">
        <v>1409.626</v>
      </c>
    </row>
    <row r="9" spans="1:8" x14ac:dyDescent="0.3">
      <c r="A9" s="3">
        <v>41882</v>
      </c>
      <c r="B9" t="s">
        <v>39</v>
      </c>
      <c r="C9">
        <v>2014</v>
      </c>
      <c r="D9">
        <v>8</v>
      </c>
      <c r="E9">
        <v>1499.02</v>
      </c>
      <c r="F9">
        <v>166.64999999999989</v>
      </c>
      <c r="G9">
        <v>12.507786876017899</v>
      </c>
      <c r="H9">
        <v>1407.198333333333</v>
      </c>
    </row>
    <row r="10" spans="1:8" x14ac:dyDescent="0.3">
      <c r="A10" s="3">
        <v>41912</v>
      </c>
      <c r="B10" t="s">
        <v>40</v>
      </c>
      <c r="C10">
        <v>2014</v>
      </c>
      <c r="D10">
        <v>9</v>
      </c>
      <c r="E10">
        <v>1814.5940000000001</v>
      </c>
      <c r="F10">
        <v>315.57400000000013</v>
      </c>
      <c r="G10">
        <v>21.052020653493631</v>
      </c>
      <c r="H10">
        <v>1548.6613333333339</v>
      </c>
    </row>
    <row r="11" spans="1:8" x14ac:dyDescent="0.3">
      <c r="A11" s="3">
        <v>41943</v>
      </c>
      <c r="B11" t="s">
        <v>41</v>
      </c>
      <c r="C11">
        <v>2014</v>
      </c>
      <c r="D11">
        <v>10</v>
      </c>
      <c r="E11">
        <v>3146.9059999999999</v>
      </c>
      <c r="F11">
        <v>1332.3119999999999</v>
      </c>
      <c r="G11">
        <v>73.422043718870441</v>
      </c>
      <c r="H11">
        <v>2153.5066666666671</v>
      </c>
    </row>
    <row r="12" spans="1:8" x14ac:dyDescent="0.3">
      <c r="A12" s="3">
        <v>41973</v>
      </c>
      <c r="B12" t="s">
        <v>42</v>
      </c>
      <c r="C12">
        <v>2014</v>
      </c>
      <c r="D12">
        <v>11</v>
      </c>
      <c r="E12">
        <v>1770.64</v>
      </c>
      <c r="F12">
        <v>-1376.2660000000001</v>
      </c>
      <c r="G12">
        <v>-43.733940575282517</v>
      </c>
      <c r="H12">
        <v>2244.0466666666671</v>
      </c>
    </row>
    <row r="13" spans="1:8" x14ac:dyDescent="0.3">
      <c r="A13" s="3">
        <v>42004</v>
      </c>
      <c r="B13" t="s">
        <v>43</v>
      </c>
      <c r="C13">
        <v>2014</v>
      </c>
      <c r="D13">
        <v>12</v>
      </c>
      <c r="E13">
        <v>2093.4850000000001</v>
      </c>
      <c r="F13">
        <v>322.84500000000003</v>
      </c>
      <c r="G13">
        <v>18.233237699362931</v>
      </c>
      <c r="H13">
        <v>2337.0103333333332</v>
      </c>
    </row>
    <row r="14" spans="1:8" x14ac:dyDescent="0.3">
      <c r="A14" s="3">
        <v>42035</v>
      </c>
      <c r="B14" t="s">
        <v>44</v>
      </c>
      <c r="C14">
        <v>2015</v>
      </c>
      <c r="D14">
        <v>1</v>
      </c>
      <c r="E14">
        <v>2157.7489999999998</v>
      </c>
      <c r="F14">
        <v>64.264000000000124</v>
      </c>
      <c r="G14">
        <v>3.069713898117254</v>
      </c>
      <c r="H14">
        <v>2007.2913333333329</v>
      </c>
    </row>
    <row r="15" spans="1:8" x14ac:dyDescent="0.3">
      <c r="A15" s="3">
        <v>42063</v>
      </c>
      <c r="B15" t="s">
        <v>45</v>
      </c>
      <c r="C15">
        <v>2015</v>
      </c>
      <c r="D15">
        <v>2</v>
      </c>
      <c r="E15">
        <v>1831.5319999999999</v>
      </c>
      <c r="F15">
        <v>-326.21700000000033</v>
      </c>
      <c r="G15">
        <v>-15.11839421545325</v>
      </c>
      <c r="H15">
        <v>2027.5886666666661</v>
      </c>
    </row>
    <row r="16" spans="1:8" x14ac:dyDescent="0.3">
      <c r="A16" s="3">
        <v>42094</v>
      </c>
      <c r="B16" t="s">
        <v>46</v>
      </c>
      <c r="C16">
        <v>2015</v>
      </c>
      <c r="D16">
        <v>3</v>
      </c>
      <c r="E16">
        <v>1974.076</v>
      </c>
      <c r="F16">
        <v>142.5440000000001</v>
      </c>
      <c r="G16">
        <v>7.7827742021433499</v>
      </c>
      <c r="H16">
        <v>1987.7856666666671</v>
      </c>
    </row>
    <row r="17" spans="1:8" x14ac:dyDescent="0.3">
      <c r="A17" s="3">
        <v>42124</v>
      </c>
      <c r="B17" t="s">
        <v>47</v>
      </c>
      <c r="C17">
        <v>2015</v>
      </c>
      <c r="D17">
        <v>4</v>
      </c>
      <c r="E17">
        <v>1723.885</v>
      </c>
      <c r="F17">
        <v>-250.1910000000002</v>
      </c>
      <c r="G17">
        <v>-12.673828160617941</v>
      </c>
      <c r="H17">
        <v>1843.1643333333329</v>
      </c>
    </row>
    <row r="18" spans="1:8" x14ac:dyDescent="0.3">
      <c r="A18" s="3">
        <v>42155</v>
      </c>
      <c r="B18" t="s">
        <v>48</v>
      </c>
      <c r="C18">
        <v>2015</v>
      </c>
      <c r="D18">
        <v>5</v>
      </c>
      <c r="E18">
        <v>1644.577</v>
      </c>
      <c r="F18">
        <v>-79.307999999999538</v>
      </c>
      <c r="G18">
        <v>-4.6005388990564624</v>
      </c>
      <c r="H18">
        <v>1780.846</v>
      </c>
    </row>
    <row r="19" spans="1:8" x14ac:dyDescent="0.3">
      <c r="A19" s="3">
        <v>42185</v>
      </c>
      <c r="B19" t="s">
        <v>49</v>
      </c>
      <c r="C19">
        <v>2015</v>
      </c>
      <c r="D19">
        <v>6</v>
      </c>
      <c r="E19">
        <v>1705.6079999999999</v>
      </c>
      <c r="F19">
        <v>61.030999999999722</v>
      </c>
      <c r="G19">
        <v>3.7110454542414129</v>
      </c>
      <c r="H19">
        <v>1691.356666666667</v>
      </c>
    </row>
    <row r="20" spans="1:8" x14ac:dyDescent="0.3">
      <c r="A20" s="3">
        <v>42216</v>
      </c>
      <c r="B20" t="s">
        <v>50</v>
      </c>
      <c r="C20">
        <v>2015</v>
      </c>
      <c r="D20">
        <v>7</v>
      </c>
      <c r="E20">
        <v>1523.048</v>
      </c>
      <c r="F20">
        <v>-182.55999999999969</v>
      </c>
      <c r="G20">
        <v>-10.703514523853061</v>
      </c>
      <c r="H20">
        <v>1624.4110000000001</v>
      </c>
    </row>
    <row r="21" spans="1:8" x14ac:dyDescent="0.3">
      <c r="A21" s="3">
        <v>42247</v>
      </c>
      <c r="B21" t="s">
        <v>51</v>
      </c>
      <c r="C21">
        <v>2015</v>
      </c>
      <c r="D21">
        <v>8</v>
      </c>
      <c r="E21">
        <v>1659.597</v>
      </c>
      <c r="F21">
        <v>136.54899999999981</v>
      </c>
      <c r="G21">
        <v>8.9655086379417881</v>
      </c>
      <c r="H21">
        <v>1629.4176666666669</v>
      </c>
    </row>
    <row r="22" spans="1:8" x14ac:dyDescent="0.3">
      <c r="A22" s="3">
        <v>42277</v>
      </c>
      <c r="B22" t="s">
        <v>52</v>
      </c>
      <c r="C22">
        <v>2015</v>
      </c>
      <c r="D22">
        <v>9</v>
      </c>
      <c r="E22">
        <v>1679.367</v>
      </c>
      <c r="F22">
        <v>19.770000000000209</v>
      </c>
      <c r="G22">
        <v>1.1912530572181219</v>
      </c>
      <c r="H22">
        <v>1620.6706666666671</v>
      </c>
    </row>
    <row r="23" spans="1:8" x14ac:dyDescent="0.3">
      <c r="A23" s="3">
        <v>42308</v>
      </c>
      <c r="B23" t="s">
        <v>53</v>
      </c>
      <c r="C23">
        <v>2015</v>
      </c>
      <c r="D23">
        <v>10</v>
      </c>
      <c r="E23">
        <v>2529.5760000000009</v>
      </c>
      <c r="F23">
        <v>850.20900000000074</v>
      </c>
      <c r="G23">
        <v>50.626754009099912</v>
      </c>
      <c r="H23">
        <v>1956.18</v>
      </c>
    </row>
    <row r="24" spans="1:8" x14ac:dyDescent="0.3">
      <c r="A24" s="3">
        <v>42338</v>
      </c>
      <c r="B24" t="s">
        <v>54</v>
      </c>
      <c r="C24">
        <v>2015</v>
      </c>
      <c r="D24">
        <v>11</v>
      </c>
      <c r="E24">
        <v>2189.6379999999999</v>
      </c>
      <c r="F24">
        <v>-339.93800000000101</v>
      </c>
      <c r="G24">
        <v>-13.43853673501018</v>
      </c>
      <c r="H24">
        <v>2132.860333333334</v>
      </c>
    </row>
    <row r="25" spans="1:8" x14ac:dyDescent="0.3">
      <c r="A25" s="3">
        <v>42369</v>
      </c>
      <c r="B25" t="s">
        <v>55</v>
      </c>
      <c r="C25">
        <v>2015</v>
      </c>
      <c r="D25">
        <v>12</v>
      </c>
      <c r="E25">
        <v>2272.83</v>
      </c>
      <c r="F25">
        <v>83.192000000000462</v>
      </c>
      <c r="G25">
        <v>3.7993494815124822</v>
      </c>
      <c r="H25">
        <v>2330.6813333333339</v>
      </c>
    </row>
    <row r="26" spans="1:8" x14ac:dyDescent="0.3">
      <c r="A26" s="3">
        <v>42400</v>
      </c>
      <c r="B26" t="s">
        <v>56</v>
      </c>
      <c r="C26">
        <v>2016</v>
      </c>
      <c r="D26">
        <v>1</v>
      </c>
      <c r="E26">
        <v>2451.3760000000002</v>
      </c>
      <c r="F26">
        <v>178.54599999999979</v>
      </c>
      <c r="G26">
        <v>7.855668923764636</v>
      </c>
      <c r="H26">
        <v>2304.6146666666668</v>
      </c>
    </row>
    <row r="27" spans="1:8" x14ac:dyDescent="0.3">
      <c r="A27" s="3">
        <v>42429</v>
      </c>
      <c r="B27" t="s">
        <v>57</v>
      </c>
      <c r="C27">
        <v>2016</v>
      </c>
      <c r="D27">
        <v>2</v>
      </c>
      <c r="E27">
        <v>2232.400000000001</v>
      </c>
      <c r="F27">
        <v>-218.97599999999969</v>
      </c>
      <c r="G27">
        <v>-8.9327789780107025</v>
      </c>
      <c r="H27">
        <v>2318.8686666666672</v>
      </c>
    </row>
    <row r="28" spans="1:8" x14ac:dyDescent="0.3">
      <c r="A28" s="3">
        <v>42460</v>
      </c>
      <c r="B28" t="s">
        <v>58</v>
      </c>
      <c r="C28">
        <v>2016</v>
      </c>
      <c r="D28">
        <v>3</v>
      </c>
      <c r="E28">
        <v>2250.1690000000008</v>
      </c>
      <c r="F28">
        <v>17.769000000000229</v>
      </c>
      <c r="G28">
        <v>0.79595950546498262</v>
      </c>
      <c r="H28">
        <v>2311.315000000001</v>
      </c>
    </row>
    <row r="29" spans="1:8" x14ac:dyDescent="0.3">
      <c r="A29" s="3">
        <v>42490</v>
      </c>
      <c r="B29" t="s">
        <v>59</v>
      </c>
      <c r="C29">
        <v>2016</v>
      </c>
      <c r="D29">
        <v>4</v>
      </c>
      <c r="E29">
        <v>2173.5729999999999</v>
      </c>
      <c r="F29">
        <v>-76.596000000000458</v>
      </c>
      <c r="G29">
        <v>-3.404010987619166</v>
      </c>
      <c r="H29">
        <v>2218.7139999999999</v>
      </c>
    </row>
    <row r="30" spans="1:8" x14ac:dyDescent="0.3">
      <c r="A30" s="3">
        <v>42521</v>
      </c>
      <c r="B30" t="s">
        <v>60</v>
      </c>
      <c r="C30">
        <v>2016</v>
      </c>
      <c r="D30">
        <v>5</v>
      </c>
      <c r="E30">
        <v>1977.021</v>
      </c>
      <c r="F30">
        <v>-196.55199999999991</v>
      </c>
      <c r="G30">
        <v>-9.0428064757889342</v>
      </c>
      <c r="H30">
        <v>2133.5876666666682</v>
      </c>
    </row>
    <row r="31" spans="1:8" x14ac:dyDescent="0.3">
      <c r="A31" s="3">
        <v>42551</v>
      </c>
      <c r="B31" t="s">
        <v>61</v>
      </c>
      <c r="C31">
        <v>2016</v>
      </c>
      <c r="D31">
        <v>6</v>
      </c>
      <c r="E31">
        <v>1755.231</v>
      </c>
      <c r="F31">
        <v>-221.79000000000039</v>
      </c>
      <c r="G31">
        <v>-11.218393734816191</v>
      </c>
      <c r="H31">
        <v>1968.608333333334</v>
      </c>
    </row>
    <row r="32" spans="1:8" x14ac:dyDescent="0.3">
      <c r="A32" s="3">
        <v>42582</v>
      </c>
      <c r="B32" t="s">
        <v>62</v>
      </c>
      <c r="C32">
        <v>2016</v>
      </c>
      <c r="D32">
        <v>7</v>
      </c>
      <c r="E32">
        <v>1609.0809999999999</v>
      </c>
      <c r="F32">
        <v>-146.15000000000009</v>
      </c>
      <c r="G32">
        <v>-8.3265393557884977</v>
      </c>
      <c r="H32">
        <v>1780.444333333334</v>
      </c>
    </row>
    <row r="33" spans="1:8" x14ac:dyDescent="0.3">
      <c r="A33" s="3">
        <v>42613</v>
      </c>
      <c r="B33" t="s">
        <v>63</v>
      </c>
      <c r="C33">
        <v>2016</v>
      </c>
      <c r="D33">
        <v>8</v>
      </c>
      <c r="E33">
        <v>1700.0550000000001</v>
      </c>
      <c r="F33">
        <v>90.974000000000402</v>
      </c>
      <c r="G33">
        <v>5.6537862295310326</v>
      </c>
      <c r="H33">
        <v>1688.1223333333339</v>
      </c>
    </row>
    <row r="34" spans="1:8" x14ac:dyDescent="0.3">
      <c r="A34" s="3">
        <v>42643</v>
      </c>
      <c r="B34" t="s">
        <v>64</v>
      </c>
      <c r="C34">
        <v>2016</v>
      </c>
      <c r="D34">
        <v>9</v>
      </c>
      <c r="E34">
        <v>2049.877</v>
      </c>
      <c r="F34">
        <v>349.82199999999972</v>
      </c>
      <c r="G34">
        <v>20.577098976209559</v>
      </c>
      <c r="H34">
        <v>1786.337666666667</v>
      </c>
    </row>
    <row r="35" spans="1:8" x14ac:dyDescent="0.3">
      <c r="A35" s="3">
        <v>42674</v>
      </c>
      <c r="B35" t="s">
        <v>65</v>
      </c>
      <c r="C35">
        <v>2016</v>
      </c>
      <c r="D35">
        <v>10</v>
      </c>
      <c r="E35">
        <v>2710.141000000001</v>
      </c>
      <c r="F35">
        <v>660.26400000000149</v>
      </c>
      <c r="G35">
        <v>32.209932595955827</v>
      </c>
      <c r="H35">
        <v>2153.3576666666668</v>
      </c>
    </row>
    <row r="36" spans="1:8" x14ac:dyDescent="0.3">
      <c r="A36" s="3">
        <v>42704</v>
      </c>
      <c r="B36" t="s">
        <v>66</v>
      </c>
      <c r="C36">
        <v>2016</v>
      </c>
      <c r="D36">
        <v>11</v>
      </c>
      <c r="E36">
        <v>1962.7660000000001</v>
      </c>
      <c r="F36">
        <v>-747.37500000000091</v>
      </c>
      <c r="G36">
        <v>-27.576978467172019</v>
      </c>
      <c r="H36">
        <v>2240.9280000000008</v>
      </c>
    </row>
    <row r="37" spans="1:8" x14ac:dyDescent="0.3">
      <c r="A37" s="3">
        <v>42735</v>
      </c>
      <c r="B37" t="s">
        <v>67</v>
      </c>
      <c r="C37">
        <v>2016</v>
      </c>
      <c r="D37">
        <v>12</v>
      </c>
      <c r="E37">
        <v>2646.011</v>
      </c>
      <c r="F37">
        <v>683.24499999999989</v>
      </c>
      <c r="G37">
        <v>34.81031360844846</v>
      </c>
      <c r="H37">
        <v>2439.639333333334</v>
      </c>
    </row>
    <row r="38" spans="1:8" x14ac:dyDescent="0.3">
      <c r="A38" s="3">
        <v>42766</v>
      </c>
      <c r="B38" t="s">
        <v>68</v>
      </c>
      <c r="C38">
        <v>2017</v>
      </c>
      <c r="D38">
        <v>1</v>
      </c>
      <c r="E38">
        <v>1</v>
      </c>
      <c r="F38">
        <v>-2645.011</v>
      </c>
      <c r="G38">
        <v>-99.962207262176918</v>
      </c>
      <c r="H38">
        <v>1536.592333333334</v>
      </c>
    </row>
    <row r="39" spans="1:8" x14ac:dyDescent="0.3">
      <c r="A39" s="3">
        <v>42794</v>
      </c>
      <c r="B39" t="s">
        <v>69</v>
      </c>
      <c r="C39">
        <v>2017</v>
      </c>
      <c r="D39">
        <v>2</v>
      </c>
      <c r="E39">
        <v>1165.1569999999999</v>
      </c>
      <c r="F39">
        <v>1164.1569999999999</v>
      </c>
      <c r="G39">
        <v>116415.7</v>
      </c>
      <c r="H39">
        <v>1270.722666666667</v>
      </c>
    </row>
    <row r="40" spans="1:8" x14ac:dyDescent="0.3">
      <c r="A40" s="3">
        <v>42825</v>
      </c>
      <c r="B40" t="s">
        <v>70</v>
      </c>
      <c r="C40">
        <v>2017</v>
      </c>
      <c r="D40">
        <v>3</v>
      </c>
      <c r="E40">
        <v>1406.855</v>
      </c>
      <c r="F40">
        <v>241.69800000000009</v>
      </c>
      <c r="G40">
        <v>20.74381392378881</v>
      </c>
      <c r="H40">
        <v>857.67066666666722</v>
      </c>
    </row>
    <row r="41" spans="1:8" x14ac:dyDescent="0.3">
      <c r="A41" s="3">
        <v>42855</v>
      </c>
      <c r="B41" t="s">
        <v>71</v>
      </c>
      <c r="C41">
        <v>2017</v>
      </c>
      <c r="D41">
        <v>4</v>
      </c>
      <c r="E41">
        <v>1369.925</v>
      </c>
      <c r="F41">
        <v>-36.930000000000291</v>
      </c>
      <c r="G41">
        <v>-2.625003998279873</v>
      </c>
      <c r="H41">
        <v>1313.979</v>
      </c>
    </row>
    <row r="42" spans="1:8" x14ac:dyDescent="0.3">
      <c r="A42" s="3">
        <v>42886</v>
      </c>
      <c r="B42" t="s">
        <v>72</v>
      </c>
      <c r="C42">
        <v>2017</v>
      </c>
      <c r="D42">
        <v>5</v>
      </c>
      <c r="E42">
        <v>1369.4849999999999</v>
      </c>
      <c r="F42">
        <v>-0.44000000000005451</v>
      </c>
      <c r="G42">
        <v>-3.2118546635773099E-2</v>
      </c>
      <c r="H42">
        <v>1382.088333333334</v>
      </c>
    </row>
    <row r="43" spans="1:8" x14ac:dyDescent="0.3">
      <c r="A43" s="3">
        <v>42916</v>
      </c>
      <c r="B43" t="s">
        <v>73</v>
      </c>
      <c r="C43">
        <v>2017</v>
      </c>
      <c r="D43">
        <v>6</v>
      </c>
      <c r="E43">
        <v>1326.9359999999999</v>
      </c>
      <c r="F43">
        <v>-42.548999999999978</v>
      </c>
      <c r="G43">
        <v>-3.1069343585362401</v>
      </c>
      <c r="H43">
        <v>1355.4486666666669</v>
      </c>
    </row>
    <row r="44" spans="1:8" x14ac:dyDescent="0.3">
      <c r="A44" s="3">
        <v>42947</v>
      </c>
      <c r="B44" t="s">
        <v>74</v>
      </c>
      <c r="C44">
        <v>2017</v>
      </c>
      <c r="D44">
        <v>7</v>
      </c>
      <c r="E44">
        <v>1260.5260000000001</v>
      </c>
      <c r="F44">
        <v>-66.409999999999854</v>
      </c>
      <c r="G44">
        <v>-5.0047628521646796</v>
      </c>
      <c r="H44">
        <v>1318.9823333333341</v>
      </c>
    </row>
    <row r="45" spans="1:8" x14ac:dyDescent="0.3">
      <c r="A45" s="3">
        <v>42978</v>
      </c>
      <c r="B45" t="s">
        <v>75</v>
      </c>
      <c r="C45">
        <v>2017</v>
      </c>
      <c r="D45">
        <v>8</v>
      </c>
      <c r="E45">
        <v>1302.42</v>
      </c>
      <c r="F45">
        <v>41.893999999999778</v>
      </c>
      <c r="G45">
        <v>3.3235331916993132</v>
      </c>
      <c r="H45">
        <v>1296.627333333334</v>
      </c>
    </row>
    <row r="46" spans="1:8" x14ac:dyDescent="0.3">
      <c r="A46" s="3">
        <v>43008</v>
      </c>
      <c r="B46" t="s">
        <v>76</v>
      </c>
      <c r="C46">
        <v>2017</v>
      </c>
      <c r="D46">
        <v>9</v>
      </c>
      <c r="E46">
        <v>1660.8409999999999</v>
      </c>
      <c r="F46">
        <v>358.4210000000005</v>
      </c>
      <c r="G46">
        <v>27.51961732774377</v>
      </c>
      <c r="H46">
        <v>1407.9290000000001</v>
      </c>
    </row>
    <row r="47" spans="1:8" x14ac:dyDescent="0.3">
      <c r="A47" s="3">
        <v>43039</v>
      </c>
      <c r="B47" t="s">
        <v>77</v>
      </c>
      <c r="C47">
        <v>2017</v>
      </c>
      <c r="D47">
        <v>10</v>
      </c>
      <c r="E47">
        <v>2050.127</v>
      </c>
      <c r="F47">
        <v>389.28600000000012</v>
      </c>
      <c r="G47">
        <v>23.43908899166145</v>
      </c>
      <c r="H47">
        <v>1671.129333333334</v>
      </c>
    </row>
    <row r="48" spans="1:8" x14ac:dyDescent="0.3">
      <c r="A48" s="3">
        <v>43069</v>
      </c>
      <c r="B48" t="s">
        <v>78</v>
      </c>
      <c r="C48">
        <v>2017</v>
      </c>
      <c r="D48">
        <v>11</v>
      </c>
      <c r="E48">
        <v>1705.579</v>
      </c>
      <c r="F48">
        <v>-344.54800000000017</v>
      </c>
      <c r="G48">
        <v>-16.806178348951072</v>
      </c>
      <c r="H48">
        <v>1805.515666666668</v>
      </c>
    </row>
    <row r="49" spans="1:8" x14ac:dyDescent="0.3">
      <c r="A49" s="3">
        <v>43100</v>
      </c>
      <c r="B49" t="s">
        <v>79</v>
      </c>
      <c r="C49">
        <v>2017</v>
      </c>
      <c r="D49">
        <v>12</v>
      </c>
      <c r="E49">
        <v>1887.1030000000001</v>
      </c>
      <c r="F49">
        <v>181.52399999999989</v>
      </c>
      <c r="G49">
        <v>10.642954679906349</v>
      </c>
      <c r="H49">
        <v>1880.936333333334</v>
      </c>
    </row>
    <row r="50" spans="1:8" x14ac:dyDescent="0.3">
      <c r="A50" s="3">
        <v>43131</v>
      </c>
      <c r="B50" t="s">
        <v>80</v>
      </c>
      <c r="C50">
        <v>2018</v>
      </c>
      <c r="D50">
        <v>1</v>
      </c>
      <c r="E50">
        <v>1985.701</v>
      </c>
      <c r="F50">
        <v>98.597999999999956</v>
      </c>
      <c r="G50">
        <v>5.2248340445645969</v>
      </c>
      <c r="H50">
        <v>1859.461</v>
      </c>
    </row>
    <row r="51" spans="1:8" x14ac:dyDescent="0.3">
      <c r="A51" s="3">
        <v>43159</v>
      </c>
      <c r="B51" t="s">
        <v>81</v>
      </c>
      <c r="C51">
        <v>2018</v>
      </c>
      <c r="D51">
        <v>2</v>
      </c>
      <c r="E51">
        <v>2203.248000000001</v>
      </c>
      <c r="F51">
        <v>217.54700000000091</v>
      </c>
      <c r="G51">
        <v>10.95567761712368</v>
      </c>
      <c r="H51">
        <v>2025.3506666666669</v>
      </c>
    </row>
    <row r="52" spans="1:8" x14ac:dyDescent="0.3">
      <c r="A52" s="3">
        <v>43190</v>
      </c>
      <c r="B52" t="s">
        <v>82</v>
      </c>
      <c r="C52">
        <v>2018</v>
      </c>
      <c r="D52">
        <v>3</v>
      </c>
      <c r="E52">
        <v>2156.8470000000002</v>
      </c>
      <c r="F52">
        <v>-46.401000000000749</v>
      </c>
      <c r="G52">
        <v>-2.1060271018060961</v>
      </c>
      <c r="H52">
        <v>2115.2653333333342</v>
      </c>
    </row>
    <row r="53" spans="1:8" x14ac:dyDescent="0.3">
      <c r="A53" s="3">
        <v>43220</v>
      </c>
      <c r="B53" t="s">
        <v>83</v>
      </c>
      <c r="C53">
        <v>2018</v>
      </c>
      <c r="D53">
        <v>4</v>
      </c>
      <c r="E53">
        <v>1934.48</v>
      </c>
      <c r="F53">
        <v>-222.36700000000019</v>
      </c>
      <c r="G53">
        <v>-10.30981798894406</v>
      </c>
      <c r="H53">
        <v>2098.191666666668</v>
      </c>
    </row>
    <row r="54" spans="1:8" x14ac:dyDescent="0.3">
      <c r="A54" s="3">
        <v>43251</v>
      </c>
      <c r="B54" t="s">
        <v>84</v>
      </c>
      <c r="C54">
        <v>2018</v>
      </c>
      <c r="D54">
        <v>5</v>
      </c>
      <c r="E54">
        <v>1675.13</v>
      </c>
      <c r="F54">
        <v>-259.34999999999968</v>
      </c>
      <c r="G54">
        <v>-13.40670361027251</v>
      </c>
      <c r="H54">
        <v>1922.1523333333339</v>
      </c>
    </row>
    <row r="55" spans="1:8" x14ac:dyDescent="0.3">
      <c r="A55" s="3">
        <v>43281</v>
      </c>
      <c r="B55" t="s">
        <v>85</v>
      </c>
      <c r="C55">
        <v>2018</v>
      </c>
      <c r="D55">
        <v>6</v>
      </c>
      <c r="E55">
        <v>1414.3489999999999</v>
      </c>
      <c r="F55">
        <v>-260.78100000000018</v>
      </c>
      <c r="G55">
        <v>-15.567806677690699</v>
      </c>
      <c r="H55">
        <v>1674.653</v>
      </c>
    </row>
    <row r="56" spans="1:8" x14ac:dyDescent="0.3">
      <c r="A56" s="3">
        <v>43312</v>
      </c>
      <c r="B56" t="s">
        <v>86</v>
      </c>
      <c r="C56">
        <v>2018</v>
      </c>
      <c r="D56">
        <v>7</v>
      </c>
      <c r="E56">
        <v>1563.479</v>
      </c>
      <c r="F56">
        <v>149.12999999999991</v>
      </c>
      <c r="G56">
        <v>10.544073633876771</v>
      </c>
      <c r="H56">
        <v>1550.986000000001</v>
      </c>
    </row>
    <row r="57" spans="1:8" x14ac:dyDescent="0.3">
      <c r="A57" s="3">
        <v>43343</v>
      </c>
      <c r="B57" t="s">
        <v>87</v>
      </c>
      <c r="C57">
        <v>2018</v>
      </c>
      <c r="D57">
        <v>8</v>
      </c>
      <c r="E57">
        <v>1611.9069999999999</v>
      </c>
      <c r="F57">
        <v>48.427999999999891</v>
      </c>
      <c r="G57">
        <v>3.097451260937945</v>
      </c>
      <c r="H57">
        <v>1529.9116666666671</v>
      </c>
    </row>
    <row r="58" spans="1:8" x14ac:dyDescent="0.3">
      <c r="A58" s="3">
        <v>43373</v>
      </c>
      <c r="B58" t="s">
        <v>88</v>
      </c>
      <c r="C58">
        <v>2018</v>
      </c>
      <c r="D58">
        <v>9</v>
      </c>
      <c r="E58">
        <v>1981.374</v>
      </c>
      <c r="F58">
        <v>369.46700000000033</v>
      </c>
      <c r="G58">
        <v>22.921111453700501</v>
      </c>
      <c r="H58">
        <v>1718.92</v>
      </c>
    </row>
    <row r="59" spans="1:8" x14ac:dyDescent="0.3">
      <c r="A59" s="3">
        <v>43404</v>
      </c>
      <c r="B59" t="s">
        <v>89</v>
      </c>
      <c r="C59">
        <v>2018</v>
      </c>
      <c r="D59">
        <v>10</v>
      </c>
      <c r="E59">
        <v>2221.335</v>
      </c>
      <c r="F59">
        <v>239.96099999999981</v>
      </c>
      <c r="G59">
        <v>12.11083823649648</v>
      </c>
      <c r="H59">
        <v>1938.205333333334</v>
      </c>
    </row>
    <row r="60" spans="1:8" x14ac:dyDescent="0.3">
      <c r="A60" s="3">
        <v>43434</v>
      </c>
      <c r="B60" t="s">
        <v>90</v>
      </c>
      <c r="C60">
        <v>2018</v>
      </c>
      <c r="D60">
        <v>11</v>
      </c>
      <c r="E60">
        <v>2008.6769999999999</v>
      </c>
      <c r="F60">
        <v>-212.6579999999999</v>
      </c>
      <c r="G60">
        <v>-9.5734321928029775</v>
      </c>
      <c r="H60">
        <v>2070.462</v>
      </c>
    </row>
    <row r="61" spans="1:8" x14ac:dyDescent="0.3">
      <c r="A61" s="3">
        <v>43465</v>
      </c>
      <c r="B61" t="s">
        <v>91</v>
      </c>
      <c r="C61">
        <v>2018</v>
      </c>
      <c r="D61">
        <v>12</v>
      </c>
      <c r="E61">
        <v>2277.5340000000001</v>
      </c>
      <c r="F61">
        <v>268.85700000000003</v>
      </c>
      <c r="G61">
        <v>13.38478013139992</v>
      </c>
      <c r="H61">
        <v>2169.1819999999998</v>
      </c>
    </row>
    <row r="62" spans="1:8" x14ac:dyDescent="0.3">
      <c r="A62" s="3">
        <v>43496</v>
      </c>
      <c r="B62" t="s">
        <v>92</v>
      </c>
      <c r="C62">
        <v>2019</v>
      </c>
      <c r="D62">
        <v>1</v>
      </c>
      <c r="E62">
        <v>2907.8630000000012</v>
      </c>
      <c r="F62">
        <v>630.32900000000109</v>
      </c>
      <c r="G62">
        <v>27.675942488674199</v>
      </c>
      <c r="H62">
        <v>2398.0246666666681</v>
      </c>
    </row>
    <row r="63" spans="1:8" x14ac:dyDescent="0.3">
      <c r="A63" s="3">
        <v>43524</v>
      </c>
      <c r="B63" t="s">
        <v>93</v>
      </c>
      <c r="C63">
        <v>2019</v>
      </c>
      <c r="D63">
        <v>2</v>
      </c>
      <c r="E63">
        <v>1944.197000000001</v>
      </c>
      <c r="F63">
        <v>-963.66600000000062</v>
      </c>
      <c r="G63">
        <v>-33.140006939804259</v>
      </c>
      <c r="H63">
        <v>2376.5313333333338</v>
      </c>
    </row>
    <row r="64" spans="1:8" x14ac:dyDescent="0.3">
      <c r="A64" s="3">
        <v>43555</v>
      </c>
      <c r="B64" t="s">
        <v>94</v>
      </c>
      <c r="C64">
        <v>2019</v>
      </c>
      <c r="D64">
        <v>3</v>
      </c>
      <c r="E64">
        <v>2038.9380000000001</v>
      </c>
      <c r="F64">
        <v>94.740999999999303</v>
      </c>
      <c r="G64">
        <v>4.8730144116053697</v>
      </c>
      <c r="H64">
        <v>2296.9993333333341</v>
      </c>
    </row>
    <row r="65" spans="1:8" x14ac:dyDescent="0.3">
      <c r="A65" s="3">
        <v>43585</v>
      </c>
      <c r="B65" t="s">
        <v>95</v>
      </c>
      <c r="C65">
        <v>2019</v>
      </c>
      <c r="D65">
        <v>4</v>
      </c>
      <c r="E65">
        <v>1756.8050000000001</v>
      </c>
      <c r="F65">
        <v>-282.13299999999958</v>
      </c>
      <c r="G65">
        <v>-13.83725253048399</v>
      </c>
      <c r="H65">
        <v>1913.313333333334</v>
      </c>
    </row>
    <row r="66" spans="1:8" x14ac:dyDescent="0.3">
      <c r="A66" s="3">
        <v>43616</v>
      </c>
      <c r="B66" t="s">
        <v>96</v>
      </c>
      <c r="C66">
        <v>2019</v>
      </c>
      <c r="D66">
        <v>5</v>
      </c>
      <c r="E66">
        <v>1822.16</v>
      </c>
      <c r="F66">
        <v>65.355000000000018</v>
      </c>
      <c r="G66">
        <v>3.72010553248654</v>
      </c>
      <c r="H66">
        <v>1872.6343333333341</v>
      </c>
    </row>
    <row r="67" spans="1:8" x14ac:dyDescent="0.3">
      <c r="A67" s="3">
        <v>43646</v>
      </c>
      <c r="B67" t="s">
        <v>97</v>
      </c>
      <c r="C67">
        <v>2019</v>
      </c>
      <c r="D67">
        <v>6</v>
      </c>
      <c r="E67">
        <v>1482.4069999999999</v>
      </c>
      <c r="F67">
        <v>-339.75300000000021</v>
      </c>
      <c r="G67">
        <v>-18.645618386969321</v>
      </c>
      <c r="H67">
        <v>1687.124</v>
      </c>
    </row>
    <row r="68" spans="1:8" x14ac:dyDescent="0.3">
      <c r="A68" s="3">
        <v>43677</v>
      </c>
      <c r="B68" t="s">
        <v>98</v>
      </c>
      <c r="C68">
        <v>2019</v>
      </c>
      <c r="D68">
        <v>7</v>
      </c>
      <c r="E68">
        <v>1517.941</v>
      </c>
      <c r="F68">
        <v>35.533999999999878</v>
      </c>
      <c r="G68">
        <v>2.3970475044977402</v>
      </c>
      <c r="H68">
        <v>1607.502666666667</v>
      </c>
    </row>
    <row r="69" spans="1:8" x14ac:dyDescent="0.3">
      <c r="A69" s="3">
        <v>43708</v>
      </c>
      <c r="B69" t="s">
        <v>99</v>
      </c>
      <c r="C69">
        <v>2019</v>
      </c>
      <c r="D69">
        <v>8</v>
      </c>
      <c r="E69">
        <v>1377.779</v>
      </c>
      <c r="F69">
        <v>-140.16200000000001</v>
      </c>
      <c r="G69">
        <v>-9.2336922186040162</v>
      </c>
      <c r="H69">
        <v>1459.375666666667</v>
      </c>
    </row>
    <row r="70" spans="1:8" x14ac:dyDescent="0.3">
      <c r="A70" s="3">
        <v>43738</v>
      </c>
      <c r="B70" t="s">
        <v>100</v>
      </c>
      <c r="C70">
        <v>2019</v>
      </c>
      <c r="D70">
        <v>9</v>
      </c>
      <c r="E70">
        <v>1864.3869999999999</v>
      </c>
      <c r="F70">
        <v>486.60800000000017</v>
      </c>
      <c r="G70">
        <v>35.318291249902927</v>
      </c>
      <c r="H70">
        <v>1586.7023333333341</v>
      </c>
    </row>
    <row r="71" spans="1:8" x14ac:dyDescent="0.3">
      <c r="A71" s="3">
        <v>43769</v>
      </c>
      <c r="B71" t="s">
        <v>101</v>
      </c>
      <c r="C71">
        <v>2019</v>
      </c>
      <c r="D71">
        <v>10</v>
      </c>
      <c r="E71">
        <v>538.6</v>
      </c>
      <c r="F71">
        <v>-1325.787</v>
      </c>
      <c r="G71">
        <v>-71.111148060998076</v>
      </c>
      <c r="H71">
        <v>1260.255333333334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workbookViewId="0"/>
  </sheetViews>
  <sheetFormatPr defaultRowHeight="14.4" x14ac:dyDescent="0.3"/>
  <cols>
    <col min="1" max="1" width="7" customWidth="1"/>
    <col min="2" max="2" width="11" customWidth="1"/>
    <col min="3" max="4" width="21" customWidth="1"/>
    <col min="5" max="5" width="19" customWidth="1"/>
  </cols>
  <sheetData>
    <row r="1" spans="1:5" x14ac:dyDescent="0.3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</row>
    <row r="2" spans="1:5" x14ac:dyDescent="0.3">
      <c r="A2">
        <v>1</v>
      </c>
      <c r="B2" t="s">
        <v>107</v>
      </c>
      <c r="C2">
        <v>62477.945000000007</v>
      </c>
      <c r="D2">
        <v>892.54207142857149</v>
      </c>
      <c r="E2">
        <v>49.36</v>
      </c>
    </row>
    <row r="3" spans="1:5" x14ac:dyDescent="0.3">
      <c r="A3">
        <v>2</v>
      </c>
      <c r="B3" t="s">
        <v>108</v>
      </c>
      <c r="C3">
        <v>18348.3</v>
      </c>
      <c r="D3">
        <v>262.11857142857139</v>
      </c>
      <c r="E3">
        <v>14.49</v>
      </c>
    </row>
    <row r="4" spans="1:5" x14ac:dyDescent="0.3">
      <c r="A4">
        <v>3</v>
      </c>
      <c r="B4" t="s">
        <v>109</v>
      </c>
      <c r="C4">
        <v>11737.25</v>
      </c>
      <c r="D4">
        <v>167.67500000000001</v>
      </c>
      <c r="E4">
        <v>9.27</v>
      </c>
    </row>
    <row r="5" spans="1:5" x14ac:dyDescent="0.3">
      <c r="A5">
        <v>4</v>
      </c>
      <c r="B5" t="s">
        <v>110</v>
      </c>
      <c r="C5">
        <v>10499.44</v>
      </c>
      <c r="D5">
        <v>149.99199999999999</v>
      </c>
      <c r="E5">
        <v>8.2899999999999991</v>
      </c>
    </row>
    <row r="6" spans="1:5" x14ac:dyDescent="0.3">
      <c r="A6">
        <v>5</v>
      </c>
      <c r="B6" t="s">
        <v>111</v>
      </c>
      <c r="C6">
        <v>8156.0000000000027</v>
      </c>
      <c r="D6">
        <v>116.5142857142858</v>
      </c>
      <c r="E6">
        <v>6.44</v>
      </c>
    </row>
    <row r="7" spans="1:5" x14ac:dyDescent="0.3">
      <c r="A7">
        <v>6</v>
      </c>
      <c r="B7" t="s">
        <v>112</v>
      </c>
      <c r="C7">
        <v>8051.4589999999998</v>
      </c>
      <c r="D7">
        <v>115.0208428571428</v>
      </c>
      <c r="E7">
        <v>6.36</v>
      </c>
    </row>
    <row r="8" spans="1:5" x14ac:dyDescent="0.3">
      <c r="A8">
        <v>7</v>
      </c>
      <c r="B8" t="s">
        <v>113</v>
      </c>
      <c r="C8">
        <v>6066.38</v>
      </c>
      <c r="D8">
        <v>86.662571428571425</v>
      </c>
      <c r="E8">
        <v>4.79</v>
      </c>
    </row>
    <row r="9" spans="1:5" x14ac:dyDescent="0.3">
      <c r="A9">
        <v>8</v>
      </c>
      <c r="B9" t="s">
        <v>114</v>
      </c>
      <c r="C9">
        <v>1249</v>
      </c>
      <c r="D9">
        <v>17.842857142857142</v>
      </c>
      <c r="E9">
        <v>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5"/>
  <sheetViews>
    <sheetView workbookViewId="0"/>
  </sheetViews>
  <sheetFormatPr defaultRowHeight="14.4" x14ac:dyDescent="0.3"/>
  <cols>
    <col min="1" max="1" width="13" customWidth="1"/>
    <col min="2" max="2" width="21" customWidth="1"/>
    <col min="3" max="5" width="40" customWidth="1"/>
    <col min="6" max="6" width="26" customWidth="1"/>
  </cols>
  <sheetData>
    <row r="1" spans="1:6" x14ac:dyDescent="0.3">
      <c r="A1" s="2" t="s">
        <v>24</v>
      </c>
      <c r="B1" s="2" t="s">
        <v>115</v>
      </c>
      <c r="C1" s="2" t="s">
        <v>135</v>
      </c>
      <c r="D1" s="2" t="s">
        <v>116</v>
      </c>
      <c r="E1" s="2" t="s">
        <v>117</v>
      </c>
      <c r="F1" s="2" t="s">
        <v>118</v>
      </c>
    </row>
    <row r="2" spans="1:6" x14ac:dyDescent="0.3">
      <c r="A2" s="4">
        <v>41670</v>
      </c>
      <c r="B2">
        <v>1821.11</v>
      </c>
      <c r="F2" t="s">
        <v>119</v>
      </c>
    </row>
    <row r="3" spans="1:6" x14ac:dyDescent="0.3">
      <c r="A3" s="4">
        <v>41698</v>
      </c>
      <c r="B3">
        <v>1974.47</v>
      </c>
      <c r="F3" t="s">
        <v>119</v>
      </c>
    </row>
    <row r="4" spans="1:6" x14ac:dyDescent="0.3">
      <c r="A4" s="4">
        <v>41729</v>
      </c>
      <c r="B4">
        <v>1606.72</v>
      </c>
      <c r="F4" t="s">
        <v>119</v>
      </c>
    </row>
    <row r="5" spans="1:6" x14ac:dyDescent="0.3">
      <c r="A5" s="4">
        <v>41759</v>
      </c>
      <c r="B5">
        <v>1429.675</v>
      </c>
      <c r="F5" t="s">
        <v>119</v>
      </c>
    </row>
    <row r="6" spans="1:6" x14ac:dyDescent="0.3">
      <c r="A6" s="4">
        <v>41790</v>
      </c>
      <c r="B6">
        <v>1506.3030000000001</v>
      </c>
      <c r="F6" t="s">
        <v>119</v>
      </c>
    </row>
    <row r="7" spans="1:6" x14ac:dyDescent="0.3">
      <c r="A7" s="4">
        <v>41820</v>
      </c>
      <c r="B7">
        <v>1390.2049999999999</v>
      </c>
      <c r="F7" t="s">
        <v>119</v>
      </c>
    </row>
    <row r="8" spans="1:6" x14ac:dyDescent="0.3">
      <c r="A8" s="4">
        <v>41851</v>
      </c>
      <c r="B8">
        <v>1332.37</v>
      </c>
      <c r="F8" t="s">
        <v>119</v>
      </c>
    </row>
    <row r="9" spans="1:6" x14ac:dyDescent="0.3">
      <c r="A9" s="4">
        <v>41882</v>
      </c>
      <c r="B9">
        <v>1499.02</v>
      </c>
      <c r="F9" t="s">
        <v>119</v>
      </c>
    </row>
    <row r="10" spans="1:6" x14ac:dyDescent="0.3">
      <c r="A10" s="4">
        <v>41912</v>
      </c>
      <c r="B10">
        <v>1814.5940000000001</v>
      </c>
      <c r="F10" t="s">
        <v>119</v>
      </c>
    </row>
    <row r="11" spans="1:6" x14ac:dyDescent="0.3">
      <c r="A11" s="4">
        <v>41943</v>
      </c>
      <c r="B11">
        <v>3146.9059999999999</v>
      </c>
      <c r="F11" t="s">
        <v>119</v>
      </c>
    </row>
    <row r="12" spans="1:6" x14ac:dyDescent="0.3">
      <c r="A12" s="4">
        <v>41973</v>
      </c>
      <c r="B12">
        <v>1770.64</v>
      </c>
      <c r="F12" t="s">
        <v>119</v>
      </c>
    </row>
    <row r="13" spans="1:6" x14ac:dyDescent="0.3">
      <c r="A13" s="4">
        <v>42004</v>
      </c>
      <c r="B13">
        <v>2093.4850000000001</v>
      </c>
      <c r="F13" t="s">
        <v>119</v>
      </c>
    </row>
    <row r="14" spans="1:6" x14ac:dyDescent="0.3">
      <c r="A14" s="4">
        <v>42035</v>
      </c>
      <c r="B14">
        <v>2157.7489999999998</v>
      </c>
      <c r="F14" t="s">
        <v>119</v>
      </c>
    </row>
    <row r="15" spans="1:6" x14ac:dyDescent="0.3">
      <c r="A15" s="4">
        <v>42063</v>
      </c>
      <c r="B15">
        <v>1831.5319999999999</v>
      </c>
      <c r="F15" t="s">
        <v>119</v>
      </c>
    </row>
    <row r="16" spans="1:6" x14ac:dyDescent="0.3">
      <c r="A16" s="4">
        <v>42094</v>
      </c>
      <c r="B16">
        <v>1974.076</v>
      </c>
      <c r="F16" t="s">
        <v>119</v>
      </c>
    </row>
    <row r="17" spans="1:6" x14ac:dyDescent="0.3">
      <c r="A17" s="4">
        <v>42124</v>
      </c>
      <c r="B17">
        <v>1723.885</v>
      </c>
      <c r="F17" t="s">
        <v>119</v>
      </c>
    </row>
    <row r="18" spans="1:6" x14ac:dyDescent="0.3">
      <c r="A18" s="4">
        <v>42155</v>
      </c>
      <c r="B18">
        <v>1644.577</v>
      </c>
      <c r="F18" t="s">
        <v>119</v>
      </c>
    </row>
    <row r="19" spans="1:6" x14ac:dyDescent="0.3">
      <c r="A19" s="4">
        <v>42185</v>
      </c>
      <c r="B19">
        <v>1705.6079999999999</v>
      </c>
      <c r="F19" t="s">
        <v>119</v>
      </c>
    </row>
    <row r="20" spans="1:6" x14ac:dyDescent="0.3">
      <c r="A20" s="4">
        <v>42216</v>
      </c>
      <c r="B20">
        <v>1523.048</v>
      </c>
      <c r="F20" t="s">
        <v>119</v>
      </c>
    </row>
    <row r="21" spans="1:6" x14ac:dyDescent="0.3">
      <c r="A21" s="4">
        <v>42247</v>
      </c>
      <c r="B21">
        <v>1659.597</v>
      </c>
      <c r="F21" t="s">
        <v>119</v>
      </c>
    </row>
    <row r="22" spans="1:6" x14ac:dyDescent="0.3">
      <c r="A22" s="4">
        <v>42277</v>
      </c>
      <c r="B22">
        <v>1679.367</v>
      </c>
      <c r="F22" t="s">
        <v>119</v>
      </c>
    </row>
    <row r="23" spans="1:6" x14ac:dyDescent="0.3">
      <c r="A23" s="4">
        <v>42308</v>
      </c>
      <c r="B23">
        <v>2529.5760000000009</v>
      </c>
      <c r="F23" t="s">
        <v>119</v>
      </c>
    </row>
    <row r="24" spans="1:6" x14ac:dyDescent="0.3">
      <c r="A24" s="4">
        <v>42338</v>
      </c>
      <c r="B24">
        <v>2189.6379999999999</v>
      </c>
      <c r="F24" t="s">
        <v>119</v>
      </c>
    </row>
    <row r="25" spans="1:6" x14ac:dyDescent="0.3">
      <c r="A25" s="4">
        <v>42369</v>
      </c>
      <c r="B25">
        <v>2272.83</v>
      </c>
      <c r="F25" t="s">
        <v>119</v>
      </c>
    </row>
    <row r="26" spans="1:6" x14ac:dyDescent="0.3">
      <c r="A26" s="4">
        <v>42400</v>
      </c>
      <c r="B26">
        <v>2451.3760000000002</v>
      </c>
      <c r="F26" t="s">
        <v>119</v>
      </c>
    </row>
    <row r="27" spans="1:6" x14ac:dyDescent="0.3">
      <c r="A27" s="4">
        <v>42429</v>
      </c>
      <c r="B27">
        <v>2232.400000000001</v>
      </c>
      <c r="F27" t="s">
        <v>119</v>
      </c>
    </row>
    <row r="28" spans="1:6" x14ac:dyDescent="0.3">
      <c r="A28" s="4">
        <v>42460</v>
      </c>
      <c r="B28">
        <v>2250.1690000000008</v>
      </c>
      <c r="F28" t="s">
        <v>119</v>
      </c>
    </row>
    <row r="29" spans="1:6" x14ac:dyDescent="0.3">
      <c r="A29" s="4">
        <v>42490</v>
      </c>
      <c r="B29">
        <v>2173.5729999999999</v>
      </c>
      <c r="F29" t="s">
        <v>119</v>
      </c>
    </row>
    <row r="30" spans="1:6" x14ac:dyDescent="0.3">
      <c r="A30" s="4">
        <v>42521</v>
      </c>
      <c r="B30">
        <v>1977.021</v>
      </c>
      <c r="F30" t="s">
        <v>119</v>
      </c>
    </row>
    <row r="31" spans="1:6" x14ac:dyDescent="0.3">
      <c r="A31" s="4">
        <v>42551</v>
      </c>
      <c r="B31">
        <v>1755.231</v>
      </c>
      <c r="F31" t="s">
        <v>119</v>
      </c>
    </row>
    <row r="32" spans="1:6" x14ac:dyDescent="0.3">
      <c r="A32" s="4">
        <v>42582</v>
      </c>
      <c r="B32">
        <v>1609.0809999999999</v>
      </c>
      <c r="F32" t="s">
        <v>119</v>
      </c>
    </row>
    <row r="33" spans="1:6" x14ac:dyDescent="0.3">
      <c r="A33" s="4">
        <v>42613</v>
      </c>
      <c r="B33">
        <v>1700.0550000000001</v>
      </c>
      <c r="F33" t="s">
        <v>119</v>
      </c>
    </row>
    <row r="34" spans="1:6" x14ac:dyDescent="0.3">
      <c r="A34" s="4">
        <v>42643</v>
      </c>
      <c r="B34">
        <v>2049.877</v>
      </c>
      <c r="F34" t="s">
        <v>119</v>
      </c>
    </row>
    <row r="35" spans="1:6" x14ac:dyDescent="0.3">
      <c r="A35" s="4">
        <v>42674</v>
      </c>
      <c r="B35">
        <v>2710.141000000001</v>
      </c>
      <c r="F35" t="s">
        <v>119</v>
      </c>
    </row>
    <row r="36" spans="1:6" x14ac:dyDescent="0.3">
      <c r="A36" s="4">
        <v>42704</v>
      </c>
      <c r="B36">
        <v>1962.7660000000001</v>
      </c>
      <c r="F36" t="s">
        <v>119</v>
      </c>
    </row>
    <row r="37" spans="1:6" x14ac:dyDescent="0.3">
      <c r="A37" s="4">
        <v>42735</v>
      </c>
      <c r="B37">
        <v>2646.011</v>
      </c>
      <c r="F37" t="s">
        <v>119</v>
      </c>
    </row>
    <row r="38" spans="1:6" x14ac:dyDescent="0.3">
      <c r="A38" s="4">
        <v>42766</v>
      </c>
      <c r="B38">
        <v>1</v>
      </c>
      <c r="F38" t="s">
        <v>119</v>
      </c>
    </row>
    <row r="39" spans="1:6" x14ac:dyDescent="0.3">
      <c r="A39" s="4">
        <v>42794</v>
      </c>
      <c r="B39">
        <v>1165.1569999999999</v>
      </c>
      <c r="F39" t="s">
        <v>119</v>
      </c>
    </row>
    <row r="40" spans="1:6" x14ac:dyDescent="0.3">
      <c r="A40" s="4">
        <v>42825</v>
      </c>
      <c r="B40">
        <v>1406.855</v>
      </c>
      <c r="F40" t="s">
        <v>119</v>
      </c>
    </row>
    <row r="41" spans="1:6" x14ac:dyDescent="0.3">
      <c r="A41" s="4">
        <v>42855</v>
      </c>
      <c r="B41">
        <v>1369.925</v>
      </c>
      <c r="F41" t="s">
        <v>119</v>
      </c>
    </row>
    <row r="42" spans="1:6" x14ac:dyDescent="0.3">
      <c r="A42" s="4">
        <v>42886</v>
      </c>
      <c r="B42">
        <v>1369.4849999999999</v>
      </c>
      <c r="F42" t="s">
        <v>119</v>
      </c>
    </row>
    <row r="43" spans="1:6" x14ac:dyDescent="0.3">
      <c r="A43" s="4">
        <v>42916</v>
      </c>
      <c r="B43">
        <v>1326.9359999999999</v>
      </c>
      <c r="F43" t="s">
        <v>119</v>
      </c>
    </row>
    <row r="44" spans="1:6" x14ac:dyDescent="0.3">
      <c r="A44" s="4">
        <v>42947</v>
      </c>
      <c r="B44">
        <v>1260.5260000000001</v>
      </c>
      <c r="F44" t="s">
        <v>119</v>
      </c>
    </row>
    <row r="45" spans="1:6" x14ac:dyDescent="0.3">
      <c r="A45" s="4">
        <v>42978</v>
      </c>
      <c r="B45">
        <v>1302.42</v>
      </c>
      <c r="F45" t="s">
        <v>119</v>
      </c>
    </row>
    <row r="46" spans="1:6" x14ac:dyDescent="0.3">
      <c r="A46" s="4">
        <v>43008</v>
      </c>
      <c r="B46">
        <v>1660.8409999999999</v>
      </c>
      <c r="F46" t="s">
        <v>119</v>
      </c>
    </row>
    <row r="47" spans="1:6" x14ac:dyDescent="0.3">
      <c r="A47" s="4">
        <v>43039</v>
      </c>
      <c r="B47">
        <v>2050.127</v>
      </c>
      <c r="F47" t="s">
        <v>119</v>
      </c>
    </row>
    <row r="48" spans="1:6" x14ac:dyDescent="0.3">
      <c r="A48" s="4">
        <v>43069</v>
      </c>
      <c r="B48">
        <v>1705.579</v>
      </c>
      <c r="F48" t="s">
        <v>119</v>
      </c>
    </row>
    <row r="49" spans="1:6" x14ac:dyDescent="0.3">
      <c r="A49" s="4">
        <v>43100</v>
      </c>
      <c r="B49">
        <v>1887.1030000000001</v>
      </c>
      <c r="F49" t="s">
        <v>119</v>
      </c>
    </row>
    <row r="50" spans="1:6" x14ac:dyDescent="0.3">
      <c r="A50" s="4">
        <v>43131</v>
      </c>
      <c r="B50">
        <v>1985.701</v>
      </c>
      <c r="F50" t="s">
        <v>119</v>
      </c>
    </row>
    <row r="51" spans="1:6" x14ac:dyDescent="0.3">
      <c r="A51" s="4">
        <v>43159</v>
      </c>
      <c r="B51">
        <v>2203.248000000001</v>
      </c>
      <c r="F51" t="s">
        <v>119</v>
      </c>
    </row>
    <row r="52" spans="1:6" x14ac:dyDescent="0.3">
      <c r="A52" s="4">
        <v>43190</v>
      </c>
      <c r="B52">
        <v>2156.8470000000002</v>
      </c>
      <c r="F52" t="s">
        <v>119</v>
      </c>
    </row>
    <row r="53" spans="1:6" x14ac:dyDescent="0.3">
      <c r="A53" s="4">
        <v>43220</v>
      </c>
      <c r="B53">
        <v>1934.48</v>
      </c>
      <c r="F53" t="s">
        <v>119</v>
      </c>
    </row>
    <row r="54" spans="1:6" x14ac:dyDescent="0.3">
      <c r="A54" s="4">
        <v>43251</v>
      </c>
      <c r="B54">
        <v>1675.13</v>
      </c>
      <c r="F54" t="s">
        <v>119</v>
      </c>
    </row>
    <row r="55" spans="1:6" x14ac:dyDescent="0.3">
      <c r="A55" s="4">
        <v>43281</v>
      </c>
      <c r="B55">
        <v>1414.3489999999999</v>
      </c>
      <c r="F55" t="s">
        <v>119</v>
      </c>
    </row>
    <row r="56" spans="1:6" x14ac:dyDescent="0.3">
      <c r="A56" s="4">
        <v>43312</v>
      </c>
      <c r="B56">
        <v>1563.479</v>
      </c>
      <c r="F56" t="s">
        <v>119</v>
      </c>
    </row>
    <row r="57" spans="1:6" x14ac:dyDescent="0.3">
      <c r="A57" s="4">
        <v>43343</v>
      </c>
      <c r="B57">
        <v>1611.9069999999999</v>
      </c>
      <c r="F57" t="s">
        <v>119</v>
      </c>
    </row>
    <row r="58" spans="1:6" x14ac:dyDescent="0.3">
      <c r="A58" s="4">
        <v>43373</v>
      </c>
      <c r="B58">
        <v>1981.374</v>
      </c>
      <c r="F58" t="s">
        <v>119</v>
      </c>
    </row>
    <row r="59" spans="1:6" x14ac:dyDescent="0.3">
      <c r="A59" s="4">
        <v>43404</v>
      </c>
      <c r="B59">
        <v>2221.335</v>
      </c>
      <c r="F59" t="s">
        <v>119</v>
      </c>
    </row>
    <row r="60" spans="1:6" x14ac:dyDescent="0.3">
      <c r="A60" s="4">
        <v>43434</v>
      </c>
      <c r="B60">
        <v>2008.6769999999999</v>
      </c>
      <c r="F60" t="s">
        <v>119</v>
      </c>
    </row>
    <row r="61" spans="1:6" x14ac:dyDescent="0.3">
      <c r="A61" s="4">
        <v>43465</v>
      </c>
      <c r="B61">
        <v>2277.5340000000001</v>
      </c>
      <c r="F61" t="s">
        <v>119</v>
      </c>
    </row>
    <row r="62" spans="1:6" x14ac:dyDescent="0.3">
      <c r="A62" s="4">
        <v>43496</v>
      </c>
      <c r="B62">
        <v>2907.8630000000012</v>
      </c>
      <c r="C62">
        <f t="shared" ref="C62:C70" si="0">_xlfn.SINGLE(_xlfn.FORECAST.ETS(A62, B$2:B$61, A$2:A$61, 1, 1))</f>
        <v>1382.7811531155653</v>
      </c>
      <c r="D62" s="4">
        <f t="shared" ref="D62:D70" si="1">C62 -_xlfn.SINGLE( _xlfn.FORECAST.ETS.CONFINT(A62, B$2:B$61, A$2:A$61, 0.95, 1, 1))</f>
        <v>591.96909100205517</v>
      </c>
      <c r="E62" s="4">
        <f t="shared" ref="E62:E70" si="2">C62 +_xlfn.SINGLE( _xlfn.FORECAST.ETS.CONFINT(A62, B$2:B$61, A$2:A$61, 0.95, 1, 1))</f>
        <v>2173.5932152290752</v>
      </c>
      <c r="F62" t="s">
        <v>120</v>
      </c>
    </row>
    <row r="63" spans="1:6" x14ac:dyDescent="0.3">
      <c r="A63" s="4">
        <v>43524</v>
      </c>
      <c r="B63">
        <v>1944.197000000001</v>
      </c>
      <c r="C63">
        <f t="shared" si="0"/>
        <v>1582.1786610496424</v>
      </c>
      <c r="D63" s="4">
        <f t="shared" si="1"/>
        <v>791.363384674283</v>
      </c>
      <c r="E63" s="4">
        <f t="shared" si="2"/>
        <v>2372.9939374250016</v>
      </c>
      <c r="F63" t="s">
        <v>120</v>
      </c>
    </row>
    <row r="64" spans="1:6" x14ac:dyDescent="0.3">
      <c r="A64" s="4">
        <v>43555</v>
      </c>
      <c r="B64">
        <v>2038.9380000000001</v>
      </c>
      <c r="C64">
        <f t="shared" si="0"/>
        <v>1674.1609753931557</v>
      </c>
      <c r="D64" s="4">
        <f t="shared" si="1"/>
        <v>883.33902819065054</v>
      </c>
      <c r="E64" s="4">
        <f t="shared" si="2"/>
        <v>2464.982922595661</v>
      </c>
      <c r="F64" t="s">
        <v>120</v>
      </c>
    </row>
    <row r="65" spans="1:6" x14ac:dyDescent="0.3">
      <c r="A65" s="4">
        <v>43585</v>
      </c>
      <c r="B65">
        <v>1756.8050000000001</v>
      </c>
      <c r="C65">
        <f t="shared" si="0"/>
        <v>1548.7667159891214</v>
      </c>
      <c r="D65" s="4">
        <f t="shared" si="1"/>
        <v>757.93520268910527</v>
      </c>
      <c r="E65" s="4">
        <f t="shared" si="2"/>
        <v>2339.5982292891376</v>
      </c>
      <c r="F65" t="s">
        <v>120</v>
      </c>
    </row>
    <row r="66" spans="1:6" x14ac:dyDescent="0.3">
      <c r="A66" s="4">
        <v>43616</v>
      </c>
      <c r="B66">
        <v>1822.16</v>
      </c>
      <c r="C66">
        <f t="shared" si="0"/>
        <v>1442.5394939385396</v>
      </c>
      <c r="D66" s="4">
        <f t="shared" si="1"/>
        <v>651.69342763743293</v>
      </c>
      <c r="E66" s="4">
        <f t="shared" si="2"/>
        <v>2233.3855602396461</v>
      </c>
      <c r="F66" t="s">
        <v>120</v>
      </c>
    </row>
    <row r="67" spans="1:6" x14ac:dyDescent="0.3">
      <c r="A67" s="4">
        <v>43646</v>
      </c>
      <c r="B67">
        <v>1482.4069999999999</v>
      </c>
      <c r="C67">
        <f t="shared" si="0"/>
        <v>1324.1645318497287</v>
      </c>
      <c r="D67" s="4">
        <f t="shared" si="1"/>
        <v>533.29971667816676</v>
      </c>
      <c r="E67" s="4">
        <f t="shared" si="2"/>
        <v>2115.029347021291</v>
      </c>
      <c r="F67" t="s">
        <v>120</v>
      </c>
    </row>
    <row r="68" spans="1:6" x14ac:dyDescent="0.3">
      <c r="A68" s="4">
        <v>43677</v>
      </c>
      <c r="B68">
        <v>1517.941</v>
      </c>
      <c r="C68">
        <f t="shared" si="0"/>
        <v>1242.0561975020282</v>
      </c>
      <c r="D68" s="4">
        <f t="shared" si="1"/>
        <v>451.16545350256695</v>
      </c>
      <c r="E68" s="4">
        <f t="shared" si="2"/>
        <v>2032.9469415014896</v>
      </c>
      <c r="F68" t="s">
        <v>120</v>
      </c>
    </row>
    <row r="69" spans="1:6" x14ac:dyDescent="0.3">
      <c r="A69" s="4">
        <v>43708</v>
      </c>
      <c r="B69">
        <v>1377.779</v>
      </c>
      <c r="C69">
        <f t="shared" si="0"/>
        <v>1351.3712788745365</v>
      </c>
      <c r="D69" s="4">
        <f t="shared" si="1"/>
        <v>560.44851082120385</v>
      </c>
      <c r="E69" s="4">
        <f t="shared" si="2"/>
        <v>2142.2940469278692</v>
      </c>
      <c r="F69" t="s">
        <v>120</v>
      </c>
    </row>
    <row r="70" spans="1:6" x14ac:dyDescent="0.3">
      <c r="A70" s="4">
        <v>43738</v>
      </c>
      <c r="B70">
        <v>1864.3869999999999</v>
      </c>
      <c r="C70">
        <f t="shared" si="0"/>
        <v>1599.8863176690209</v>
      </c>
      <c r="D70" s="4">
        <f t="shared" si="1"/>
        <v>808.92529079723283</v>
      </c>
      <c r="E70" s="4">
        <f t="shared" si="2"/>
        <v>2390.847344540809</v>
      </c>
      <c r="F70" t="s">
        <v>120</v>
      </c>
    </row>
    <row r="71" spans="1:6" x14ac:dyDescent="0.3">
      <c r="A71" s="4">
        <v>43769</v>
      </c>
      <c r="B71">
        <v>538.6</v>
      </c>
      <c r="C71">
        <f t="shared" ref="C71:C85" si="3">_xlfn.SINGLE(_xlfn.FORECAST.ETS(A71, B$2:B$70, A$2:A$70, 1, 1))</f>
        <v>1864.1377878227877</v>
      </c>
      <c r="D71" s="4">
        <f t="shared" ref="D71:D85" si="4">C71 -_xlfn.SINGLE( _xlfn.FORECAST.ETS.CONFINT(A71, B$2:B$70, A$2:A$70, 0.95, 1, 1))</f>
        <v>962.91078596304817</v>
      </c>
      <c r="E71" s="4">
        <f t="shared" ref="E71:E85" si="5">C71 +_xlfn.SINGLE( _xlfn.FORECAST.ETS.CONFINT(A71, B$2:B$70, A$2:A$70, 0.95, 1, 1))</f>
        <v>2765.3647896825273</v>
      </c>
      <c r="F71" t="s">
        <v>121</v>
      </c>
    </row>
    <row r="72" spans="1:6" x14ac:dyDescent="0.3">
      <c r="A72" s="4">
        <v>43799</v>
      </c>
      <c r="C72">
        <f t="shared" si="3"/>
        <v>1863.9041514066496</v>
      </c>
      <c r="D72" s="4">
        <f t="shared" si="4"/>
        <v>962.67322485836121</v>
      </c>
      <c r="E72" s="4">
        <f t="shared" si="5"/>
        <v>2765.135077954938</v>
      </c>
      <c r="F72" t="s">
        <v>136</v>
      </c>
    </row>
    <row r="73" spans="1:6" x14ac:dyDescent="0.3">
      <c r="A73" s="4">
        <v>43830</v>
      </c>
      <c r="C73">
        <f t="shared" si="3"/>
        <v>1863.6549392294373</v>
      </c>
      <c r="D73" s="4">
        <f t="shared" si="4"/>
        <v>962.416439534147</v>
      </c>
      <c r="E73" s="4">
        <f t="shared" si="5"/>
        <v>2764.8934389247279</v>
      </c>
      <c r="F73" t="s">
        <v>136</v>
      </c>
    </row>
    <row r="74" spans="1:6" x14ac:dyDescent="0.3">
      <c r="A74" s="4">
        <v>43861</v>
      </c>
      <c r="C74">
        <f t="shared" si="3"/>
        <v>1863.4135149327612</v>
      </c>
      <c r="D74" s="4">
        <f t="shared" si="4"/>
        <v>962.16359022632992</v>
      </c>
      <c r="E74" s="4">
        <f t="shared" si="5"/>
        <v>2764.6634396391928</v>
      </c>
      <c r="F74" t="s">
        <v>136</v>
      </c>
    </row>
    <row r="75" spans="1:6" x14ac:dyDescent="0.3">
      <c r="A75" s="4">
        <v>43890</v>
      </c>
      <c r="C75">
        <f t="shared" si="3"/>
        <v>1863.187666397163</v>
      </c>
      <c r="D75" s="4">
        <f t="shared" si="4"/>
        <v>961.9225667090368</v>
      </c>
      <c r="E75" s="4">
        <f t="shared" si="5"/>
        <v>2764.4527660852891</v>
      </c>
      <c r="F75" t="s">
        <v>136</v>
      </c>
    </row>
    <row r="76" spans="1:6" x14ac:dyDescent="0.3">
      <c r="A76" s="4">
        <v>43921</v>
      </c>
      <c r="C76">
        <f t="shared" si="3"/>
        <v>1862.9306663394107</v>
      </c>
      <c r="D76" s="4">
        <f t="shared" si="4"/>
        <v>961.6420343066543</v>
      </c>
      <c r="E76" s="4">
        <f t="shared" si="5"/>
        <v>2764.219298372167</v>
      </c>
      <c r="F76" t="s">
        <v>136</v>
      </c>
    </row>
    <row r="77" spans="1:6" x14ac:dyDescent="0.3">
      <c r="A77" s="4">
        <v>43951</v>
      </c>
      <c r="C77">
        <f t="shared" si="3"/>
        <v>1862.6970299232744</v>
      </c>
      <c r="D77" s="4">
        <f t="shared" si="4"/>
        <v>961.38049127385443</v>
      </c>
      <c r="E77" s="4">
        <f t="shared" si="5"/>
        <v>2764.0135685726946</v>
      </c>
      <c r="F77" t="s">
        <v>136</v>
      </c>
    </row>
    <row r="78" spans="1:6" x14ac:dyDescent="0.3">
      <c r="A78" s="4">
        <v>43982</v>
      </c>
      <c r="C78">
        <f t="shared" si="3"/>
        <v>1862.4478177460603</v>
      </c>
      <c r="D78" s="4">
        <f t="shared" si="4"/>
        <v>961.09333039131309</v>
      </c>
      <c r="E78" s="4">
        <f t="shared" si="5"/>
        <v>2763.8023051008076</v>
      </c>
      <c r="F78" t="s">
        <v>136</v>
      </c>
    </row>
    <row r="79" spans="1:6" x14ac:dyDescent="0.3">
      <c r="A79" s="4">
        <v>44012</v>
      </c>
      <c r="C79">
        <f t="shared" si="3"/>
        <v>1862.214181329924</v>
      </c>
      <c r="D79" s="4">
        <f t="shared" si="4"/>
        <v>960.81609345198842</v>
      </c>
      <c r="E79" s="4">
        <f t="shared" si="5"/>
        <v>2763.6122692078598</v>
      </c>
      <c r="F79" t="s">
        <v>136</v>
      </c>
    </row>
    <row r="80" spans="1:6" x14ac:dyDescent="0.3">
      <c r="A80" s="4">
        <v>44043</v>
      </c>
      <c r="C80">
        <f t="shared" si="3"/>
        <v>1861.96496915271</v>
      </c>
      <c r="D80" s="4">
        <f t="shared" si="4"/>
        <v>960.51027640853044</v>
      </c>
      <c r="E80" s="4">
        <f t="shared" si="5"/>
        <v>2763.4196618968895</v>
      </c>
      <c r="F80" t="s">
        <v>136</v>
      </c>
    </row>
    <row r="81" spans="1:6" x14ac:dyDescent="0.3">
      <c r="A81" s="4">
        <v>44074</v>
      </c>
      <c r="C81">
        <f t="shared" si="3"/>
        <v>1861.7235448560357</v>
      </c>
      <c r="D81" s="4">
        <f t="shared" si="4"/>
        <v>960.20361923032419</v>
      </c>
      <c r="E81" s="4">
        <f t="shared" si="5"/>
        <v>2763.243470481747</v>
      </c>
      <c r="F81" t="s">
        <v>136</v>
      </c>
    </row>
    <row r="82" spans="1:6" x14ac:dyDescent="0.3">
      <c r="A82" s="4">
        <v>44104</v>
      </c>
      <c r="C82">
        <f t="shared" si="3"/>
        <v>1861.4899084398976</v>
      </c>
      <c r="D82" s="4">
        <f t="shared" si="4"/>
        <v>959.89631268019264</v>
      </c>
      <c r="E82" s="4">
        <f t="shared" si="5"/>
        <v>2763.0835041996024</v>
      </c>
      <c r="F82" t="s">
        <v>136</v>
      </c>
    </row>
    <row r="83" spans="1:6" x14ac:dyDescent="0.3">
      <c r="A83" s="4">
        <v>44135</v>
      </c>
      <c r="C83">
        <f t="shared" si="3"/>
        <v>1861.2406962626853</v>
      </c>
      <c r="D83" s="4">
        <f t="shared" si="4"/>
        <v>959.55555159094502</v>
      </c>
      <c r="E83" s="4">
        <f t="shared" si="5"/>
        <v>2762.9258409344257</v>
      </c>
      <c r="F83" t="s">
        <v>136</v>
      </c>
    </row>
    <row r="84" spans="1:6" x14ac:dyDescent="0.3">
      <c r="A84" s="4">
        <v>44165</v>
      </c>
      <c r="C84">
        <f t="shared" si="3"/>
        <v>1861.0070598465472</v>
      </c>
      <c r="D84" s="4">
        <f t="shared" si="4"/>
        <v>959.22385293288971</v>
      </c>
      <c r="E84" s="4">
        <f t="shared" si="5"/>
        <v>2762.7902667602048</v>
      </c>
      <c r="F84" t="s">
        <v>136</v>
      </c>
    </row>
    <row r="85" spans="1:6" x14ac:dyDescent="0.3">
      <c r="A85" s="4">
        <v>44196</v>
      </c>
      <c r="C85">
        <f t="shared" si="3"/>
        <v>1860.757847669335</v>
      </c>
      <c r="D85" s="4">
        <f t="shared" si="4"/>
        <v>958.85516450943294</v>
      </c>
      <c r="E85" s="4">
        <f t="shared" si="5"/>
        <v>2762.6605308292369</v>
      </c>
      <c r="F85" t="s">
        <v>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tabSelected="1" workbookViewId="0">
      <selection activeCell="D20" sqref="D20"/>
    </sheetView>
  </sheetViews>
  <sheetFormatPr defaultRowHeight="14.4" x14ac:dyDescent="0.3"/>
  <cols>
    <col min="1" max="2" width="33" customWidth="1"/>
    <col min="3" max="3" width="40" customWidth="1"/>
    <col min="4" max="4" width="34" customWidth="1"/>
    <col min="5" max="5" width="21" customWidth="1"/>
  </cols>
  <sheetData>
    <row r="1" spans="1:5" x14ac:dyDescent="0.3">
      <c r="A1" s="2" t="s">
        <v>122</v>
      </c>
      <c r="B1" s="2" t="s">
        <v>123</v>
      </c>
      <c r="C1" s="2" t="s">
        <v>124</v>
      </c>
      <c r="D1" s="2" t="s">
        <v>125</v>
      </c>
    </row>
    <row r="2" spans="1:5" x14ac:dyDescent="0.3">
      <c r="A2" t="s">
        <v>126</v>
      </c>
      <c r="B2" t="s">
        <v>127</v>
      </c>
      <c r="D2" t="s">
        <v>128</v>
      </c>
    </row>
    <row r="3" spans="1:5" x14ac:dyDescent="0.3">
      <c r="A3" t="s">
        <v>129</v>
      </c>
      <c r="C3">
        <v>347.1</v>
      </c>
      <c r="D3" t="s">
        <v>130</v>
      </c>
    </row>
    <row r="4" spans="1:5" x14ac:dyDescent="0.3">
      <c r="A4" t="s">
        <v>131</v>
      </c>
      <c r="C4" s="7">
        <v>0.188</v>
      </c>
      <c r="D4" t="s">
        <v>130</v>
      </c>
    </row>
    <row r="6" spans="1:5" x14ac:dyDescent="0.3">
      <c r="A6" s="2" t="s">
        <v>24</v>
      </c>
      <c r="B6" s="2" t="s">
        <v>115</v>
      </c>
      <c r="C6" s="2" t="s">
        <v>132</v>
      </c>
      <c r="D6" s="2" t="s">
        <v>133</v>
      </c>
      <c r="E6" s="2" t="s">
        <v>134</v>
      </c>
    </row>
    <row r="7" spans="1:5" x14ac:dyDescent="0.3">
      <c r="A7">
        <f>'4_Forecast_Model'!A62</f>
        <v>43496</v>
      </c>
      <c r="B7">
        <f>'4_Forecast_Model'!B62</f>
        <v>2907.8630000000012</v>
      </c>
      <c r="C7">
        <f>'4_Forecast_Model'!C62</f>
        <v>1382.7811531155653</v>
      </c>
      <c r="D7">
        <f t="shared" ref="D7:D15" si="0">ABS(C7-B7)</f>
        <v>1525.0818468844359</v>
      </c>
      <c r="E7">
        <f t="shared" ref="E7:E15" si="1">D7/B7</f>
        <v>0.52446825964099242</v>
      </c>
    </row>
    <row r="8" spans="1:5" x14ac:dyDescent="0.3">
      <c r="A8">
        <f>'4_Forecast_Model'!A63</f>
        <v>43524</v>
      </c>
      <c r="B8">
        <f>'4_Forecast_Model'!B63</f>
        <v>1944.197000000001</v>
      </c>
      <c r="C8">
        <f>'4_Forecast_Model'!C63</f>
        <v>1582.1786610496424</v>
      </c>
      <c r="D8">
        <f t="shared" si="0"/>
        <v>362.01833895035861</v>
      </c>
      <c r="E8">
        <f t="shared" si="1"/>
        <v>0.18620455589138263</v>
      </c>
    </row>
    <row r="9" spans="1:5" x14ac:dyDescent="0.3">
      <c r="A9">
        <f>'4_Forecast_Model'!A64</f>
        <v>43555</v>
      </c>
      <c r="B9">
        <f>'4_Forecast_Model'!B64</f>
        <v>2038.9380000000001</v>
      </c>
      <c r="C9">
        <f>'4_Forecast_Model'!C64</f>
        <v>1674.1609753931557</v>
      </c>
      <c r="D9">
        <f t="shared" si="0"/>
        <v>364.77702460684441</v>
      </c>
      <c r="E9">
        <f t="shared" si="1"/>
        <v>0.17890540301217811</v>
      </c>
    </row>
    <row r="10" spans="1:5" x14ac:dyDescent="0.3">
      <c r="A10">
        <f>'4_Forecast_Model'!A65</f>
        <v>43585</v>
      </c>
      <c r="B10">
        <f>'4_Forecast_Model'!B65</f>
        <v>1756.8050000000001</v>
      </c>
      <c r="C10">
        <f>'4_Forecast_Model'!C65</f>
        <v>1548.7667159891214</v>
      </c>
      <c r="D10">
        <f t="shared" si="0"/>
        <v>208.03828401087867</v>
      </c>
      <c r="E10">
        <f t="shared" si="1"/>
        <v>0.1184185404816577</v>
      </c>
    </row>
    <row r="11" spans="1:5" x14ac:dyDescent="0.3">
      <c r="A11">
        <f>'4_Forecast_Model'!A66</f>
        <v>43616</v>
      </c>
      <c r="B11">
        <f>'4_Forecast_Model'!B66</f>
        <v>1822.16</v>
      </c>
      <c r="C11">
        <f>'4_Forecast_Model'!C66</f>
        <v>1442.5394939385396</v>
      </c>
      <c r="D11">
        <f t="shared" si="0"/>
        <v>379.62050606146045</v>
      </c>
      <c r="E11">
        <f t="shared" si="1"/>
        <v>0.20833544039022941</v>
      </c>
    </row>
    <row r="12" spans="1:5" x14ac:dyDescent="0.3">
      <c r="A12">
        <f>'4_Forecast_Model'!A67</f>
        <v>43646</v>
      </c>
      <c r="B12">
        <f>'4_Forecast_Model'!B67</f>
        <v>1482.4069999999999</v>
      </c>
      <c r="C12">
        <f>'4_Forecast_Model'!C67</f>
        <v>1324.1645318497287</v>
      </c>
      <c r="D12">
        <f t="shared" si="0"/>
        <v>158.24246815027118</v>
      </c>
      <c r="E12">
        <f t="shared" si="1"/>
        <v>0.10674697849529258</v>
      </c>
    </row>
    <row r="13" spans="1:5" x14ac:dyDescent="0.3">
      <c r="A13">
        <f>'4_Forecast_Model'!A68</f>
        <v>43677</v>
      </c>
      <c r="B13">
        <f>'4_Forecast_Model'!B68</f>
        <v>1517.941</v>
      </c>
      <c r="C13">
        <f>'4_Forecast_Model'!C68</f>
        <v>1242.0561975020282</v>
      </c>
      <c r="D13">
        <f t="shared" si="0"/>
        <v>275.8848024979718</v>
      </c>
      <c r="E13">
        <f t="shared" si="1"/>
        <v>0.18174935817529916</v>
      </c>
    </row>
    <row r="14" spans="1:5" x14ac:dyDescent="0.3">
      <c r="A14">
        <f>'4_Forecast_Model'!A69</f>
        <v>43708</v>
      </c>
      <c r="B14">
        <f>'4_Forecast_Model'!B69</f>
        <v>1377.779</v>
      </c>
      <c r="C14">
        <f>'4_Forecast_Model'!C69</f>
        <v>1351.3712788745365</v>
      </c>
      <c r="D14">
        <f t="shared" si="0"/>
        <v>26.407721125463468</v>
      </c>
      <c r="E14">
        <f t="shared" si="1"/>
        <v>1.9166877362380663E-2</v>
      </c>
    </row>
    <row r="15" spans="1:5" x14ac:dyDescent="0.3">
      <c r="A15">
        <f>'4_Forecast_Model'!A70</f>
        <v>43738</v>
      </c>
      <c r="B15">
        <f>'4_Forecast_Model'!B70</f>
        <v>1864.3869999999999</v>
      </c>
      <c r="C15">
        <f>'4_Forecast_Model'!C70</f>
        <v>1599.8863176690209</v>
      </c>
      <c r="D15">
        <f t="shared" si="0"/>
        <v>264.50068233097909</v>
      </c>
      <c r="E15">
        <f t="shared" si="1"/>
        <v>0.14187005290799554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1_Executive_Summary</vt:lpstr>
      <vt:lpstr>2_Data_Input</vt:lpstr>
      <vt:lpstr>3_Category_Input</vt:lpstr>
      <vt:lpstr>4_Forecast_Model</vt:lpstr>
      <vt:lpstr>5_Accuracy_Test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Sonkar</cp:lastModifiedBy>
  <dcterms:created xsi:type="dcterms:W3CDTF">2026-09-28T10:10:56Z</dcterms:created>
  <dcterms:modified xsi:type="dcterms:W3CDTF">2026-09-28T17:02:47Z</dcterms:modified>
</cp:coreProperties>
</file>